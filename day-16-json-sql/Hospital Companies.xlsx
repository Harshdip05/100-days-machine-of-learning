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0b72becacc87b/Desktop/"/>
    </mc:Choice>
  </mc:AlternateContent>
  <xr:revisionPtr revIDLastSave="250" documentId="8_{61E044C0-70DA-4B51-B755-D10F708633D1}" xr6:coauthVersionLast="47" xr6:coauthVersionMax="47" xr10:uidLastSave="{54EF20BC-A82D-411E-BBA5-51B8F80310CF}"/>
  <bookViews>
    <workbookView xWindow="-108" yWindow="-108" windowWidth="23256" windowHeight="12456" activeTab="2" xr2:uid="{8297121E-32FB-4CDF-93F8-9480F59C871C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Sheet1!$B$2:$AD$36</definedName>
    <definedName name="_xlnm._FilterDatabase" localSheetId="2" hidden="1">Sheet2!$C$3:$AE$22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" i="2" l="1"/>
  <c r="AS13" i="1"/>
  <c r="AT6" i="2"/>
  <c r="AT16" i="2"/>
  <c r="AT19" i="2"/>
  <c r="AF26" i="3" l="1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E25" i="2"/>
  <c r="E24" i="2"/>
  <c r="S39" i="1"/>
  <c r="AD39" i="1"/>
  <c r="AC39" i="1"/>
  <c r="AB39" i="1"/>
  <c r="AA39" i="1"/>
  <c r="Z39" i="1"/>
  <c r="Y39" i="1"/>
  <c r="X39" i="1"/>
  <c r="W39" i="1"/>
  <c r="V39" i="1"/>
  <c r="U39" i="1"/>
  <c r="T39" i="1"/>
  <c r="R39" i="1"/>
  <c r="Q39" i="1"/>
  <c r="N39" i="1"/>
  <c r="M39" i="1"/>
  <c r="L39" i="1"/>
  <c r="K39" i="1"/>
  <c r="J39" i="1"/>
  <c r="I39" i="1"/>
  <c r="H39" i="1"/>
  <c r="G39" i="1"/>
  <c r="F39" i="1"/>
  <c r="E39" i="1"/>
  <c r="D39" i="1"/>
  <c r="P5" i="1"/>
  <c r="O13" i="1"/>
  <c r="P13" i="1" s="1"/>
  <c r="O28" i="1"/>
  <c r="P28" i="1" s="1"/>
  <c r="O34" i="1"/>
  <c r="P34" i="1" s="1"/>
  <c r="O25" i="1"/>
  <c r="P25" i="1" s="1"/>
  <c r="O24" i="1"/>
  <c r="P24" i="1" s="1"/>
  <c r="O10" i="1"/>
  <c r="P10" i="1" s="1"/>
  <c r="O22" i="1"/>
  <c r="P22" i="1" s="1"/>
  <c r="O31" i="1"/>
  <c r="P31" i="1" s="1"/>
  <c r="O26" i="1"/>
  <c r="P26" i="1" s="1"/>
  <c r="O19" i="1"/>
  <c r="P19" i="1" s="1"/>
  <c r="O29" i="1"/>
  <c r="P29" i="1" s="1"/>
  <c r="O21" i="1"/>
  <c r="P21" i="1" s="1"/>
  <c r="O27" i="1"/>
  <c r="P27" i="1" s="1"/>
  <c r="O30" i="1"/>
  <c r="P30" i="1" s="1"/>
  <c r="O20" i="1"/>
  <c r="P20" i="1" s="1"/>
  <c r="O32" i="1"/>
  <c r="P32" i="1" s="1"/>
  <c r="O18" i="1"/>
  <c r="P18" i="1" s="1"/>
  <c r="O17" i="1"/>
  <c r="P17" i="1" s="1"/>
  <c r="O16" i="1"/>
  <c r="P16" i="1" s="1"/>
  <c r="O15" i="1"/>
  <c r="P15" i="1" s="1"/>
  <c r="O33" i="1"/>
  <c r="P33" i="1" s="1"/>
  <c r="O12" i="1"/>
  <c r="P12" i="1" s="1"/>
  <c r="O23" i="1"/>
  <c r="P23" i="1" s="1"/>
  <c r="O11" i="1"/>
  <c r="P11" i="1" s="1"/>
  <c r="O35" i="1"/>
  <c r="P35" i="1" s="1"/>
  <c r="O9" i="1"/>
  <c r="P9" i="1" s="1"/>
  <c r="O8" i="1"/>
  <c r="P8" i="1" s="1"/>
  <c r="O7" i="1"/>
  <c r="O6" i="1"/>
  <c r="P6" i="1" s="1"/>
  <c r="O4" i="1"/>
  <c r="P4" i="1" s="1"/>
  <c r="O3" i="1"/>
  <c r="P3" i="1" s="1"/>
  <c r="O36" i="1"/>
  <c r="P36" i="1" s="1"/>
  <c r="O38" i="1"/>
  <c r="P38" i="1" s="1"/>
  <c r="O14" i="1"/>
  <c r="P14" i="1" s="1"/>
  <c r="P39" i="1" l="1"/>
  <c r="O39" i="1"/>
</calcChain>
</file>

<file path=xl/sharedStrings.xml><?xml version="1.0" encoding="utf-8"?>
<sst xmlns="http://schemas.openxmlformats.org/spreadsheetml/2006/main" count="171" uniqueCount="72">
  <si>
    <t>S.No.</t>
  </si>
  <si>
    <t>Name</t>
  </si>
  <si>
    <t>CMP Rs.</t>
  </si>
  <si>
    <t>Mar Cap Rs.Cr.</t>
  </si>
  <si>
    <t>IV Rs.</t>
  </si>
  <si>
    <t>EPS 12M Rs. </t>
  </si>
  <si>
    <t>P/E</t>
  </si>
  <si>
    <t>Ind PE</t>
  </si>
  <si>
    <t>PEG</t>
  </si>
  <si>
    <t>CMP / BV</t>
  </si>
  <si>
    <t>CMP / Sales</t>
  </si>
  <si>
    <t>EV Rs.Cr.</t>
  </si>
  <si>
    <t>EV / EBITDA</t>
  </si>
  <si>
    <t>Debt / Eq</t>
  </si>
  <si>
    <t>ROCE %</t>
  </si>
  <si>
    <t>Sales Rs.Cr.</t>
  </si>
  <si>
    <t>Sales growth %</t>
  </si>
  <si>
    <t>NPM Ann %</t>
  </si>
  <si>
    <t>Kovai Medical</t>
  </si>
  <si>
    <t>Dr Agarwal's Eye</t>
  </si>
  <si>
    <t>Aster DM Health.</t>
  </si>
  <si>
    <t>Apollo Hospitals</t>
  </si>
  <si>
    <t>Narayana Hrudaya</t>
  </si>
  <si>
    <t>Jupiter Life Lin</t>
  </si>
  <si>
    <t>Rainbow Child.</t>
  </si>
  <si>
    <t>Global Health</t>
  </si>
  <si>
    <t>Indrapr.Medical</t>
  </si>
  <si>
    <t>Yatharth Hospit.</t>
  </si>
  <si>
    <t>Max Healthcare</t>
  </si>
  <si>
    <t>Fortis Health.</t>
  </si>
  <si>
    <t>Krishna Institu.</t>
  </si>
  <si>
    <t>GPT Healthcare</t>
  </si>
  <si>
    <t>Artemis Medicare</t>
  </si>
  <si>
    <t>Asarfi Hospital</t>
  </si>
  <si>
    <t>Health.Global</t>
  </si>
  <si>
    <t>Shanmuga Hos.</t>
  </si>
  <si>
    <t>Maitreya</t>
  </si>
  <si>
    <t>Dr Agarwal's Hea</t>
  </si>
  <si>
    <t>Sangani Hospital</t>
  </si>
  <si>
    <t>Nephro Care</t>
  </si>
  <si>
    <t>Aashka Hospitals</t>
  </si>
  <si>
    <t>KMC Speciality</t>
  </si>
  <si>
    <t>Broach</t>
  </si>
  <si>
    <t>Shalby</t>
  </si>
  <si>
    <t>Lotus Eye Hospit</t>
  </si>
  <si>
    <t>Aatmaj Health</t>
  </si>
  <si>
    <t>Fortis Malar</t>
  </si>
  <si>
    <t>Global Longlife</t>
  </si>
  <si>
    <t>Abate As Indust</t>
  </si>
  <si>
    <t>KK Shah Hospital</t>
  </si>
  <si>
    <t>Soni Medicare</t>
  </si>
  <si>
    <t>Unihealth Hosp</t>
  </si>
  <si>
    <t>Median: 34 Co.</t>
  </si>
  <si>
    <t>ROE %</t>
  </si>
  <si>
    <t>ROE 10Yr %</t>
  </si>
  <si>
    <t>ROE 5Yr %</t>
  </si>
  <si>
    <t>ROIC %</t>
  </si>
  <si>
    <t>EBITDA</t>
  </si>
  <si>
    <t>EBITDA MARGIN</t>
  </si>
  <si>
    <t>Asset Turnover</t>
  </si>
  <si>
    <t>Inven TO</t>
  </si>
  <si>
    <t>Days Receivable</t>
  </si>
  <si>
    <t>Current ratio</t>
  </si>
  <si>
    <t>Int Coverage</t>
  </si>
  <si>
    <t>AVERAGE</t>
  </si>
  <si>
    <t>MEDIAN</t>
  </si>
  <si>
    <t>GOOFCF</t>
  </si>
  <si>
    <t>KOVAI</t>
  </si>
  <si>
    <t>NARAYANA</t>
  </si>
  <si>
    <t>ASTERDM</t>
  </si>
  <si>
    <t>DR AGAR EYE</t>
  </si>
  <si>
    <t>DR AGAR HEAL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</si>
</sst>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theme="9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rgb="FF22222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BE4F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 indent="2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wrapText="1"/>
    </xf>
    <xf numFmtId="2" fontId="2" fillId="3" borderId="0" xfId="0" applyNumberFormat="1" applyFont="1" applyFill="1" applyAlignment="1">
      <alignment horizontal="right" vertical="center" wrapText="1"/>
    </xf>
    <xf numFmtId="9" fontId="2" fillId="3" borderId="0" xfId="1" applyFont="1" applyFill="1" applyAlignment="1">
      <alignment horizontal="right" vertical="center" wrapText="1"/>
    </xf>
    <xf numFmtId="2" fontId="0" fillId="0" borderId="0" xfId="0" applyNumberFormat="1"/>
    <xf numFmtId="0" fontId="4" fillId="4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10" fontId="2" fillId="3" borderId="0" xfId="0" applyNumberFormat="1" applyFont="1" applyFill="1" applyAlignment="1">
      <alignment horizontal="right" vertical="center" wrapText="1"/>
    </xf>
    <xf numFmtId="10" fontId="0" fillId="0" borderId="0" xfId="0" applyNumberFormat="1"/>
    <xf numFmtId="10" fontId="6" fillId="0" borderId="0" xfId="0" applyNumberFormat="1" applyFont="1"/>
    <xf numFmtId="0" fontId="8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10" fontId="0" fillId="0" borderId="0" xfId="1" applyNumberFormat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08EF-674C-4E1C-8C3F-B2B5A78A72F5}">
  <sheetPr filterMode="1"/>
  <dimension ref="B2:AS39"/>
  <sheetViews>
    <sheetView zoomScale="105" zoomScaleNormal="100" workbookViewId="0">
      <selection activeCell="AK37" sqref="AK37"/>
    </sheetView>
  </sheetViews>
  <sheetFormatPr defaultRowHeight="14.4" x14ac:dyDescent="0.3"/>
  <cols>
    <col min="2" max="2" width="6.5546875" customWidth="1"/>
    <col min="3" max="3" width="16.33203125" bestFit="1" customWidth="1"/>
    <col min="4" max="4" width="8.21875" bestFit="1" customWidth="1"/>
    <col min="5" max="5" width="13.21875" bestFit="1" customWidth="1"/>
    <col min="6" max="6" width="8.21875" bestFit="1" customWidth="1"/>
    <col min="7" max="7" width="11.33203125" bestFit="1" customWidth="1"/>
    <col min="8" max="8" width="8.21875" bestFit="1" customWidth="1"/>
    <col min="9" max="9" width="6.109375" bestFit="1" customWidth="1"/>
    <col min="10" max="10" width="6.6640625" bestFit="1" customWidth="1"/>
    <col min="11" max="11" width="12.21875" customWidth="1"/>
    <col min="12" max="12" width="14.33203125" customWidth="1"/>
    <col min="13" max="13" width="14" customWidth="1"/>
    <col min="14" max="14" width="12.77734375" customWidth="1"/>
    <col min="15" max="15" width="10" customWidth="1"/>
    <col min="16" max="16" width="14.5546875" bestFit="1" customWidth="1"/>
    <col min="17" max="17" width="8.6640625" bestFit="1" customWidth="1"/>
    <col min="18" max="18" width="11.6640625" bestFit="1" customWidth="1"/>
    <col min="19" max="19" width="11.44140625" bestFit="1" customWidth="1"/>
    <col min="20" max="20" width="13.88671875" customWidth="1"/>
    <col min="21" max="21" width="17.109375" customWidth="1"/>
    <col min="22" max="22" width="15.109375" customWidth="1"/>
    <col min="23" max="23" width="6.6640625" bestFit="1" customWidth="1"/>
    <col min="24" max="24" width="10.44140625" bestFit="1" customWidth="1"/>
    <col min="25" max="25" width="9.44140625" bestFit="1" customWidth="1"/>
    <col min="26" max="26" width="7" bestFit="1" customWidth="1"/>
    <col min="27" max="27" width="7.44140625" bestFit="1" customWidth="1"/>
    <col min="28" max="28" width="13.6640625" bestFit="1" customWidth="1"/>
    <col min="29" max="29" width="8.33203125" bestFit="1" customWidth="1"/>
    <col min="30" max="30" width="14.5546875" bestFit="1" customWidth="1"/>
  </cols>
  <sheetData>
    <row r="2" spans="2:4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57</v>
      </c>
      <c r="P2" t="s">
        <v>58</v>
      </c>
      <c r="Q2" t="s">
        <v>13</v>
      </c>
      <c r="R2" t="s">
        <v>62</v>
      </c>
      <c r="S2" t="s">
        <v>63</v>
      </c>
      <c r="T2" t="s">
        <v>15</v>
      </c>
      <c r="U2" t="s">
        <v>16</v>
      </c>
      <c r="V2" t="s">
        <v>17</v>
      </c>
      <c r="W2" t="s">
        <v>53</v>
      </c>
      <c r="X2" t="s">
        <v>54</v>
      </c>
      <c r="Y2" t="s">
        <v>55</v>
      </c>
      <c r="Z2" t="s">
        <v>56</v>
      </c>
      <c r="AA2" t="s">
        <v>14</v>
      </c>
      <c r="AB2" t="s">
        <v>59</v>
      </c>
      <c r="AC2" t="s">
        <v>60</v>
      </c>
      <c r="AD2" t="s">
        <v>61</v>
      </c>
    </row>
    <row r="3" spans="2:45" hidden="1" x14ac:dyDescent="0.3">
      <c r="B3" s="1">
        <v>33</v>
      </c>
      <c r="C3" t="s">
        <v>50</v>
      </c>
      <c r="D3" s="2">
        <v>59.66</v>
      </c>
      <c r="E3" s="2">
        <v>25.44</v>
      </c>
      <c r="F3" s="2"/>
      <c r="G3" s="2">
        <v>-3.33</v>
      </c>
      <c r="H3" s="2"/>
      <c r="I3" s="2">
        <v>62.03</v>
      </c>
      <c r="J3" s="2"/>
      <c r="K3" s="2">
        <v>21.03</v>
      </c>
      <c r="L3" s="2">
        <v>0.83</v>
      </c>
      <c r="M3" s="2">
        <v>33.880000000000003</v>
      </c>
      <c r="N3" s="2">
        <v>338.8</v>
      </c>
      <c r="O3" s="8">
        <f>M3/N3</f>
        <v>0.1</v>
      </c>
      <c r="P3" s="9">
        <f>O3/T3</f>
        <v>3.2456994482310941E-3</v>
      </c>
      <c r="Q3" s="2">
        <v>7.66</v>
      </c>
      <c r="R3" s="2">
        <v>1.24</v>
      </c>
      <c r="S3" s="2">
        <v>-0.39</v>
      </c>
      <c r="T3" s="2">
        <v>30.81</v>
      </c>
      <c r="U3" s="2">
        <v>12.32</v>
      </c>
      <c r="V3" s="2">
        <v>-6.17</v>
      </c>
      <c r="W3" s="2">
        <v>-68.569999999999993</v>
      </c>
      <c r="X3" s="2">
        <v>-7.78</v>
      </c>
      <c r="Y3" s="2">
        <v>-22.88</v>
      </c>
      <c r="Z3" s="2">
        <v>-7.28</v>
      </c>
      <c r="AA3" s="2">
        <v>-6.58</v>
      </c>
      <c r="AB3" s="2">
        <v>1.37</v>
      </c>
      <c r="AC3" s="2">
        <v>17.5</v>
      </c>
      <c r="AD3" s="2">
        <v>94.97</v>
      </c>
    </row>
    <row r="4" spans="2:45" hidden="1" x14ac:dyDescent="0.3">
      <c r="B4" s="3">
        <v>32</v>
      </c>
      <c r="C4" t="s">
        <v>49</v>
      </c>
      <c r="D4" s="4">
        <v>46</v>
      </c>
      <c r="E4" s="4">
        <v>31.32</v>
      </c>
      <c r="F4" s="4"/>
      <c r="G4" s="4">
        <v>-0.48</v>
      </c>
      <c r="H4" s="4"/>
      <c r="I4" s="4">
        <v>62.03</v>
      </c>
      <c r="J4" s="4"/>
      <c r="K4" s="4">
        <v>2.33</v>
      </c>
      <c r="L4" s="4">
        <v>3.48</v>
      </c>
      <c r="M4" s="4">
        <v>30.95</v>
      </c>
      <c r="N4" s="4">
        <v>44.86</v>
      </c>
      <c r="O4" s="8">
        <f>M4/N4</f>
        <v>0.68992420864913062</v>
      </c>
      <c r="P4" s="9">
        <f>O4/T4</f>
        <v>7.6658245405458958E-2</v>
      </c>
      <c r="Q4" s="4">
        <v>0</v>
      </c>
      <c r="R4" s="4">
        <v>0.6</v>
      </c>
      <c r="S4" s="4"/>
      <c r="T4" s="4">
        <v>9</v>
      </c>
      <c r="U4" s="4">
        <v>32.549999999999997</v>
      </c>
      <c r="V4" s="4">
        <v>-3.67</v>
      </c>
      <c r="W4" s="4">
        <v>-2.4</v>
      </c>
      <c r="X4" s="4"/>
      <c r="Y4" s="4"/>
      <c r="Z4" s="4">
        <v>-4.72</v>
      </c>
      <c r="AA4" s="4">
        <v>-2.33</v>
      </c>
      <c r="AB4" s="4">
        <v>0.59</v>
      </c>
      <c r="AC4" s="4"/>
      <c r="AD4" s="4">
        <v>2.4300000000000002</v>
      </c>
    </row>
    <row r="5" spans="2:45" hidden="1" x14ac:dyDescent="0.3">
      <c r="B5" s="1">
        <v>31</v>
      </c>
      <c r="C5" t="s">
        <v>48</v>
      </c>
      <c r="D5" s="2">
        <v>20.2</v>
      </c>
      <c r="E5" s="2">
        <v>159.18</v>
      </c>
      <c r="F5" s="2"/>
      <c r="G5" s="2">
        <v>0.14000000000000001</v>
      </c>
      <c r="H5" s="2">
        <v>144.71</v>
      </c>
      <c r="I5" s="2">
        <v>62.03</v>
      </c>
      <c r="J5" s="2"/>
      <c r="K5" s="2"/>
      <c r="L5" s="2">
        <v>11.3</v>
      </c>
      <c r="M5" s="2"/>
      <c r="N5" s="2"/>
      <c r="O5" s="8"/>
      <c r="P5" s="9">
        <f>O5/T5</f>
        <v>0</v>
      </c>
      <c r="Q5" s="2"/>
      <c r="R5" s="2"/>
      <c r="S5" s="2">
        <v>19.170000000000002</v>
      </c>
      <c r="T5" s="2">
        <v>14.09</v>
      </c>
      <c r="U5" s="2"/>
      <c r="V5" s="2">
        <v>7.81</v>
      </c>
      <c r="W5" s="2"/>
      <c r="X5" s="2"/>
      <c r="Y5" s="2"/>
      <c r="Z5" s="2"/>
      <c r="AA5" s="2"/>
      <c r="AB5" s="2"/>
      <c r="AC5" s="2"/>
      <c r="AD5" s="2"/>
    </row>
    <row r="6" spans="2:45" hidden="1" x14ac:dyDescent="0.3">
      <c r="B6" s="1">
        <v>30</v>
      </c>
      <c r="C6" t="s">
        <v>47</v>
      </c>
      <c r="D6" s="2">
        <v>30.8</v>
      </c>
      <c r="E6" s="2">
        <v>32.340000000000003</v>
      </c>
      <c r="F6" s="2">
        <v>6.54</v>
      </c>
      <c r="G6" s="2">
        <v>0.19</v>
      </c>
      <c r="H6" s="2">
        <v>161.69999999999999</v>
      </c>
      <c r="I6" s="2">
        <v>62.03</v>
      </c>
      <c r="J6" s="2">
        <v>9.15</v>
      </c>
      <c r="K6" s="2">
        <v>1.21</v>
      </c>
      <c r="L6" s="2">
        <v>55.76</v>
      </c>
      <c r="M6" s="2">
        <v>10.85</v>
      </c>
      <c r="N6" s="2">
        <v>12.62</v>
      </c>
      <c r="O6" s="8">
        <f t="shared" ref="O6:O36" si="0">M6/N6</f>
        <v>0.85974643423137875</v>
      </c>
      <c r="P6" s="9">
        <f>O6/T6</f>
        <v>1.4823214383299634</v>
      </c>
      <c r="Q6" s="2">
        <v>0</v>
      </c>
      <c r="R6" s="2">
        <v>377.33</v>
      </c>
      <c r="S6" s="2">
        <v>1.36</v>
      </c>
      <c r="T6" s="2">
        <v>0.57999999999999996</v>
      </c>
      <c r="U6" s="2">
        <v>-95.69</v>
      </c>
      <c r="V6" s="2">
        <v>34.479999999999997</v>
      </c>
      <c r="W6" s="2">
        <v>0.76</v>
      </c>
      <c r="X6" s="2"/>
      <c r="Y6" s="2">
        <v>3.97</v>
      </c>
      <c r="Z6" s="2">
        <v>1.68</v>
      </c>
      <c r="AA6" s="2">
        <v>1.1599999999999999</v>
      </c>
      <c r="AB6" s="2">
        <v>0.02</v>
      </c>
      <c r="AC6" s="2">
        <v>2</v>
      </c>
      <c r="AD6" s="2">
        <v>201.38</v>
      </c>
    </row>
    <row r="7" spans="2:45" hidden="1" x14ac:dyDescent="0.3">
      <c r="B7" s="3">
        <v>29</v>
      </c>
      <c r="C7" t="s">
        <v>46</v>
      </c>
      <c r="D7" s="4">
        <v>75.72</v>
      </c>
      <c r="E7" s="4">
        <v>141.91</v>
      </c>
      <c r="F7" s="4">
        <v>5.18</v>
      </c>
      <c r="G7" s="4">
        <v>0.21</v>
      </c>
      <c r="H7" s="4">
        <v>363.87</v>
      </c>
      <c r="I7" s="4">
        <v>62.03</v>
      </c>
      <c r="J7" s="4">
        <v>23.67</v>
      </c>
      <c r="K7" s="4">
        <v>4.7</v>
      </c>
      <c r="L7" s="4"/>
      <c r="M7" s="4">
        <v>124.12</v>
      </c>
      <c r="N7" s="4">
        <v>214</v>
      </c>
      <c r="O7" s="8">
        <f t="shared" si="0"/>
        <v>0.58000000000000007</v>
      </c>
      <c r="P7" s="9"/>
      <c r="Q7" s="4">
        <v>0</v>
      </c>
      <c r="R7" s="4">
        <v>5.15</v>
      </c>
      <c r="S7" s="4">
        <v>58</v>
      </c>
      <c r="T7" s="4">
        <v>0</v>
      </c>
      <c r="U7" s="4">
        <v>-100</v>
      </c>
      <c r="V7" s="4">
        <v>-13.42</v>
      </c>
      <c r="W7" s="4">
        <v>0.56000000000000005</v>
      </c>
      <c r="X7" s="4">
        <v>-4.3499999999999996</v>
      </c>
      <c r="Y7" s="4">
        <v>-11.35</v>
      </c>
      <c r="Z7" s="4">
        <v>1.44</v>
      </c>
      <c r="AA7" s="4">
        <v>0.83</v>
      </c>
      <c r="AB7" s="4">
        <v>0</v>
      </c>
      <c r="AC7" s="4"/>
      <c r="AD7" s="4"/>
    </row>
    <row r="8" spans="2:45" hidden="1" x14ac:dyDescent="0.3">
      <c r="B8" s="1">
        <v>28</v>
      </c>
      <c r="C8" t="s">
        <v>45</v>
      </c>
      <c r="D8" s="2">
        <v>19.05</v>
      </c>
      <c r="E8" s="2">
        <v>43.05</v>
      </c>
      <c r="F8" s="2">
        <v>36.9</v>
      </c>
      <c r="G8" s="2">
        <v>0.28000000000000003</v>
      </c>
      <c r="H8" s="2">
        <v>67.27</v>
      </c>
      <c r="I8" s="2">
        <v>62.03</v>
      </c>
      <c r="J8" s="2">
        <v>1.96</v>
      </c>
      <c r="K8" s="2">
        <v>0.86</v>
      </c>
      <c r="L8" s="2">
        <v>2.2000000000000002</v>
      </c>
      <c r="M8" s="2">
        <v>40.950000000000003</v>
      </c>
      <c r="N8" s="2">
        <v>14.27</v>
      </c>
      <c r="O8" s="8">
        <f t="shared" si="0"/>
        <v>2.8696566222845132</v>
      </c>
      <c r="P8" s="9">
        <f t="shared" ref="P8:P36" si="1">O8/T8</f>
        <v>0.14693582295363611</v>
      </c>
      <c r="Q8" s="2">
        <v>0.2</v>
      </c>
      <c r="R8" s="2">
        <v>4.24</v>
      </c>
      <c r="S8" s="2">
        <v>2.2200000000000002</v>
      </c>
      <c r="T8" s="2">
        <v>19.53</v>
      </c>
      <c r="U8" s="2">
        <v>31.6</v>
      </c>
      <c r="V8" s="2">
        <v>3.28</v>
      </c>
      <c r="W8" s="2">
        <v>1.29</v>
      </c>
      <c r="X8" s="2"/>
      <c r="Y8" s="2">
        <v>16.649999999999999</v>
      </c>
      <c r="Z8" s="2">
        <v>1.91</v>
      </c>
      <c r="AA8" s="2">
        <v>3.39</v>
      </c>
      <c r="AB8" s="2">
        <v>0.32</v>
      </c>
      <c r="AC8" s="2">
        <v>3.67</v>
      </c>
      <c r="AD8" s="2">
        <v>459.38</v>
      </c>
    </row>
    <row r="9" spans="2:45" hidden="1" x14ac:dyDescent="0.3">
      <c r="B9" s="3">
        <v>27</v>
      </c>
      <c r="C9" t="s">
        <v>44</v>
      </c>
      <c r="D9" s="4">
        <v>71.900000000000006</v>
      </c>
      <c r="E9" s="4">
        <v>149.53</v>
      </c>
      <c r="F9" s="4">
        <v>9.06</v>
      </c>
      <c r="G9" s="4">
        <v>0.36</v>
      </c>
      <c r="H9" s="4">
        <v>204.84</v>
      </c>
      <c r="I9" s="4">
        <v>62.03</v>
      </c>
      <c r="J9" s="4">
        <v>-15.97</v>
      </c>
      <c r="K9" s="4">
        <v>2.4900000000000002</v>
      </c>
      <c r="L9" s="4">
        <v>3.02</v>
      </c>
      <c r="M9" s="4">
        <v>148.81</v>
      </c>
      <c r="N9" s="4">
        <v>31.39</v>
      </c>
      <c r="O9" s="8">
        <f t="shared" si="0"/>
        <v>4.7406817457789101</v>
      </c>
      <c r="P9" s="9">
        <f t="shared" si="1"/>
        <v>9.5655402457201569E-2</v>
      </c>
      <c r="Q9" s="4">
        <v>0.06</v>
      </c>
      <c r="R9" s="4">
        <v>1.56</v>
      </c>
      <c r="S9" s="4">
        <v>4.8099999999999996</v>
      </c>
      <c r="T9" s="4">
        <v>49.56</v>
      </c>
      <c r="U9" s="4">
        <v>2.82</v>
      </c>
      <c r="V9" s="4">
        <v>1.47</v>
      </c>
      <c r="W9" s="4">
        <v>1.22</v>
      </c>
      <c r="X9" s="4">
        <v>3.14</v>
      </c>
      <c r="Y9" s="4">
        <v>4.37</v>
      </c>
      <c r="Z9" s="4">
        <v>1.56</v>
      </c>
      <c r="AA9" s="4">
        <v>2.79</v>
      </c>
      <c r="AB9" s="4">
        <v>0.73</v>
      </c>
      <c r="AC9" s="4">
        <v>4.3899999999999997</v>
      </c>
      <c r="AD9" s="4">
        <v>9.7200000000000006</v>
      </c>
    </row>
    <row r="10" spans="2:45" x14ac:dyDescent="0.3">
      <c r="B10" s="1">
        <v>7</v>
      </c>
      <c r="C10" s="14" t="s">
        <v>24</v>
      </c>
      <c r="D10" s="2">
        <v>1402.5</v>
      </c>
      <c r="E10" s="2">
        <v>14242.62</v>
      </c>
      <c r="F10" s="2">
        <v>457.7</v>
      </c>
      <c r="G10" s="2">
        <v>23.97</v>
      </c>
      <c r="H10" s="2">
        <v>58.51</v>
      </c>
      <c r="I10" s="2">
        <v>62.03</v>
      </c>
      <c r="J10" s="2">
        <v>1.7</v>
      </c>
      <c r="K10" s="2">
        <v>9.6999999999999993</v>
      </c>
      <c r="L10" s="2">
        <v>9.4</v>
      </c>
      <c r="M10" s="2">
        <v>14985.92</v>
      </c>
      <c r="N10" s="2">
        <v>27.71</v>
      </c>
      <c r="O10" s="8">
        <f t="shared" si="0"/>
        <v>540.81270299530854</v>
      </c>
      <c r="P10" s="9">
        <f t="shared" si="1"/>
        <v>0.35676720496830772</v>
      </c>
      <c r="Q10" s="2">
        <v>0.52</v>
      </c>
      <c r="R10" s="2">
        <v>5.46</v>
      </c>
      <c r="S10" s="2">
        <v>5.55</v>
      </c>
      <c r="T10" s="2">
        <v>1515.87</v>
      </c>
      <c r="U10" s="2">
        <v>16.88</v>
      </c>
      <c r="V10" s="2">
        <v>16.11</v>
      </c>
      <c r="W10" s="2">
        <v>17.850000000000001</v>
      </c>
      <c r="X10" s="2">
        <v>17.47</v>
      </c>
      <c r="Y10" s="2">
        <v>19.7</v>
      </c>
      <c r="Z10" s="2">
        <v>14.24</v>
      </c>
      <c r="AA10" s="2">
        <v>18.86</v>
      </c>
      <c r="AB10" s="2">
        <v>0.67</v>
      </c>
      <c r="AC10" s="2">
        <v>7.56</v>
      </c>
      <c r="AD10" s="2">
        <v>18.61</v>
      </c>
    </row>
    <row r="11" spans="2:45" hidden="1" x14ac:dyDescent="0.3">
      <c r="B11" s="3">
        <v>25</v>
      </c>
      <c r="C11" t="s">
        <v>42</v>
      </c>
      <c r="D11" s="4">
        <v>21.5</v>
      </c>
      <c r="E11" s="4">
        <v>13.05</v>
      </c>
      <c r="F11" s="4">
        <v>23.04</v>
      </c>
      <c r="G11" s="4">
        <v>0.89</v>
      </c>
      <c r="H11" s="4">
        <v>24.17</v>
      </c>
      <c r="I11" s="4">
        <v>62.03</v>
      </c>
      <c r="J11" s="4"/>
      <c r="K11" s="4">
        <v>1.39</v>
      </c>
      <c r="L11" s="4">
        <v>4.0999999999999996</v>
      </c>
      <c r="M11" s="4">
        <v>13.9</v>
      </c>
      <c r="N11" s="4">
        <v>15.8</v>
      </c>
      <c r="O11" s="8">
        <f t="shared" si="0"/>
        <v>0.879746835443038</v>
      </c>
      <c r="P11" s="9">
        <f t="shared" si="1"/>
        <v>0.27664994825252764</v>
      </c>
      <c r="Q11" s="4">
        <v>0.11</v>
      </c>
      <c r="R11" s="4">
        <v>2.0099999999999998</v>
      </c>
      <c r="S11" s="4">
        <v>25</v>
      </c>
      <c r="T11" s="4">
        <v>3.18</v>
      </c>
      <c r="U11" s="4">
        <v>21.84</v>
      </c>
      <c r="V11" s="4">
        <v>16.98</v>
      </c>
      <c r="W11" s="4">
        <v>7.28</v>
      </c>
      <c r="X11" s="4"/>
      <c r="Y11" s="4"/>
      <c r="Z11" s="4">
        <v>13.59</v>
      </c>
      <c r="AA11" s="4">
        <v>9.4499999999999993</v>
      </c>
      <c r="AB11" s="4">
        <v>0.38</v>
      </c>
      <c r="AC11" s="4">
        <v>2.06</v>
      </c>
      <c r="AD11" s="4">
        <v>68.87</v>
      </c>
    </row>
    <row r="12" spans="2:45" hidden="1" x14ac:dyDescent="0.3">
      <c r="B12" s="3">
        <v>23</v>
      </c>
      <c r="C12" t="s">
        <v>40</v>
      </c>
      <c r="D12" s="4">
        <v>97.5</v>
      </c>
      <c r="E12" s="4">
        <v>228.15</v>
      </c>
      <c r="F12" s="4">
        <v>21.81</v>
      </c>
      <c r="G12" s="4">
        <v>1.4</v>
      </c>
      <c r="H12" s="4">
        <v>91.63</v>
      </c>
      <c r="I12" s="4">
        <v>62.03</v>
      </c>
      <c r="J12" s="4">
        <v>7.31</v>
      </c>
      <c r="K12" s="4">
        <v>2.29</v>
      </c>
      <c r="L12" s="4">
        <v>10.07</v>
      </c>
      <c r="M12" s="4">
        <v>238.16</v>
      </c>
      <c r="N12" s="4">
        <v>31.3</v>
      </c>
      <c r="O12" s="8">
        <f t="shared" si="0"/>
        <v>7.6089456869009586</v>
      </c>
      <c r="P12" s="9">
        <f t="shared" si="1"/>
        <v>0.33593579191615713</v>
      </c>
      <c r="Q12" s="4">
        <v>0.13</v>
      </c>
      <c r="R12" s="4">
        <v>1.29</v>
      </c>
      <c r="S12" s="4">
        <v>2.71</v>
      </c>
      <c r="T12" s="4">
        <v>22.65</v>
      </c>
      <c r="U12" s="4">
        <v>-0.96</v>
      </c>
      <c r="V12" s="4">
        <v>10.99</v>
      </c>
      <c r="W12" s="4">
        <v>2.54</v>
      </c>
      <c r="X12" s="4"/>
      <c r="Y12" s="4">
        <v>2.3199999999999998</v>
      </c>
      <c r="Z12" s="4">
        <v>7.71</v>
      </c>
      <c r="AA12" s="4">
        <v>4.07</v>
      </c>
      <c r="AB12" s="4">
        <v>0.19</v>
      </c>
      <c r="AC12" s="4">
        <v>6.47</v>
      </c>
      <c r="AD12" s="4">
        <v>76.06</v>
      </c>
    </row>
    <row r="13" spans="2:45" x14ac:dyDescent="0.3">
      <c r="B13" s="3">
        <v>2</v>
      </c>
      <c r="C13" s="14" t="s">
        <v>19</v>
      </c>
      <c r="D13" s="4">
        <v>4343</v>
      </c>
      <c r="E13" s="4">
        <v>2041.21</v>
      </c>
      <c r="F13" s="4">
        <v>2006.86</v>
      </c>
      <c r="G13" s="4">
        <v>116.28</v>
      </c>
      <c r="H13" s="4">
        <v>37.35</v>
      </c>
      <c r="I13" s="4">
        <v>62.03</v>
      </c>
      <c r="J13" s="4">
        <v>1.1599999999999999</v>
      </c>
      <c r="K13" s="4">
        <v>9.74</v>
      </c>
      <c r="L13" s="4">
        <v>5.14</v>
      </c>
      <c r="M13" s="4">
        <v>2362.1999999999998</v>
      </c>
      <c r="N13" s="4">
        <v>19.11</v>
      </c>
      <c r="O13" s="8">
        <f t="shared" si="0"/>
        <v>123.61067503924646</v>
      </c>
      <c r="P13" s="9">
        <f t="shared" si="1"/>
        <v>0.31124430325883534</v>
      </c>
      <c r="Q13" s="4">
        <v>1.59</v>
      </c>
      <c r="R13" s="4">
        <v>0.64</v>
      </c>
      <c r="S13" s="4">
        <v>6.26</v>
      </c>
      <c r="T13" s="4">
        <v>397.15</v>
      </c>
      <c r="U13" s="4">
        <v>24.38</v>
      </c>
      <c r="V13" s="4">
        <v>13.76</v>
      </c>
      <c r="W13" s="4">
        <v>29.8</v>
      </c>
      <c r="X13" s="4">
        <v>28.71</v>
      </c>
      <c r="Y13" s="4">
        <v>29.95</v>
      </c>
      <c r="Z13" s="4">
        <v>16.690000000000001</v>
      </c>
      <c r="AA13" s="4">
        <v>17.39</v>
      </c>
      <c r="AB13" s="4">
        <v>0.72</v>
      </c>
      <c r="AC13" s="4">
        <v>3.62</v>
      </c>
      <c r="AD13" s="4">
        <v>12.84</v>
      </c>
      <c r="AG13" s="15">
        <v>1.0410999999999999</v>
      </c>
      <c r="AH13" s="15">
        <v>1.1915</v>
      </c>
      <c r="AI13" s="15">
        <v>1.0978000000000001</v>
      </c>
      <c r="AJ13" s="15">
        <v>0.99199999999999999</v>
      </c>
      <c r="AK13" s="15">
        <v>0.92249999999999999</v>
      </c>
      <c r="AL13" s="15">
        <v>1.163</v>
      </c>
      <c r="AM13" s="15">
        <v>1.1519999999999999</v>
      </c>
      <c r="AN13" s="15">
        <v>1.0667</v>
      </c>
      <c r="AO13" s="15">
        <v>1.1533</v>
      </c>
      <c r="AP13" s="15">
        <v>1.0949</v>
      </c>
      <c r="AQ13" s="15">
        <v>1.159</v>
      </c>
      <c r="AR13" s="15">
        <v>1.0725</v>
      </c>
      <c r="AS13" s="17">
        <f>AVERAGE(AG13:AR13)</f>
        <v>1.0921916666666667</v>
      </c>
    </row>
    <row r="14" spans="2:45" x14ac:dyDescent="0.3">
      <c r="B14" s="1">
        <v>1</v>
      </c>
      <c r="C14" s="14" t="s">
        <v>18</v>
      </c>
      <c r="D14" s="2">
        <v>6182.95</v>
      </c>
      <c r="E14" s="2">
        <v>6764.15</v>
      </c>
      <c r="F14" s="2">
        <v>2874.25</v>
      </c>
      <c r="G14" s="2">
        <v>190.96</v>
      </c>
      <c r="H14" s="2">
        <v>32.369999999999997</v>
      </c>
      <c r="I14" s="2">
        <v>62.03</v>
      </c>
      <c r="J14" s="2">
        <v>1.89</v>
      </c>
      <c r="K14" s="2">
        <v>6.23</v>
      </c>
      <c r="L14" s="2">
        <v>4.93</v>
      </c>
      <c r="M14" s="2">
        <v>6905.56</v>
      </c>
      <c r="N14" s="2">
        <v>16.93</v>
      </c>
      <c r="O14" s="8">
        <f t="shared" si="0"/>
        <v>407.88895451860606</v>
      </c>
      <c r="P14" s="9">
        <f t="shared" si="1"/>
        <v>0.2974859636783112</v>
      </c>
      <c r="Q14" s="2">
        <v>0.38</v>
      </c>
      <c r="R14" s="2">
        <v>1.22</v>
      </c>
      <c r="S14" s="2">
        <v>9.49</v>
      </c>
      <c r="T14" s="2">
        <v>1371.12</v>
      </c>
      <c r="U14" s="2">
        <v>12.43</v>
      </c>
      <c r="V14" s="2">
        <v>15.24</v>
      </c>
      <c r="W14" s="2">
        <v>21.16</v>
      </c>
      <c r="X14" s="2">
        <v>20.82</v>
      </c>
      <c r="Y14" s="2">
        <v>19.760000000000002</v>
      </c>
      <c r="Z14" s="2">
        <v>16.87</v>
      </c>
      <c r="AA14" s="2">
        <v>22.98</v>
      </c>
      <c r="AB14" s="2">
        <v>0.85</v>
      </c>
      <c r="AC14" s="2">
        <v>23.83</v>
      </c>
      <c r="AD14" s="2">
        <v>8.2100000000000009</v>
      </c>
    </row>
    <row r="15" spans="2:45" hidden="1" x14ac:dyDescent="0.3">
      <c r="B15" s="3">
        <v>21</v>
      </c>
      <c r="C15" t="s">
        <v>38</v>
      </c>
      <c r="D15" s="4">
        <v>64</v>
      </c>
      <c r="E15" s="4">
        <v>88.17</v>
      </c>
      <c r="F15" s="4">
        <v>31.65</v>
      </c>
      <c r="G15" s="4">
        <v>2.4500000000000002</v>
      </c>
      <c r="H15" s="4">
        <v>26.16</v>
      </c>
      <c r="I15" s="4">
        <v>62.03</v>
      </c>
      <c r="J15" s="4"/>
      <c r="K15" s="4">
        <v>2.5</v>
      </c>
      <c r="L15" s="4">
        <v>4.99</v>
      </c>
      <c r="M15" s="4">
        <v>68.48</v>
      </c>
      <c r="N15" s="4">
        <v>15.12</v>
      </c>
      <c r="O15" s="8">
        <f t="shared" si="0"/>
        <v>4.5291005291005293</v>
      </c>
      <c r="P15" s="9">
        <f t="shared" si="1"/>
        <v>0.25617084440613852</v>
      </c>
      <c r="Q15" s="4">
        <v>0</v>
      </c>
      <c r="R15" s="4">
        <v>7.89</v>
      </c>
      <c r="S15" s="4"/>
      <c r="T15" s="4">
        <v>17.68</v>
      </c>
      <c r="U15" s="4">
        <v>-0.79</v>
      </c>
      <c r="V15" s="4">
        <v>16.45</v>
      </c>
      <c r="W15" s="4">
        <v>10.49</v>
      </c>
      <c r="X15" s="4"/>
      <c r="Y15" s="4"/>
      <c r="Z15" s="4">
        <v>8.1300000000000008</v>
      </c>
      <c r="AA15" s="4">
        <v>14.15</v>
      </c>
      <c r="AB15" s="4">
        <v>0.6</v>
      </c>
      <c r="AC15" s="4">
        <v>9.41</v>
      </c>
      <c r="AD15" s="4">
        <v>50.05</v>
      </c>
    </row>
    <row r="16" spans="2:45" hidden="1" x14ac:dyDescent="0.3">
      <c r="B16" s="1">
        <v>20</v>
      </c>
      <c r="C16" t="s">
        <v>37</v>
      </c>
      <c r="D16" s="2">
        <v>338.5</v>
      </c>
      <c r="E16" s="2">
        <v>10701.96</v>
      </c>
      <c r="F16" s="2">
        <v>95.52</v>
      </c>
      <c r="G16" s="2">
        <v>2.64</v>
      </c>
      <c r="H16" s="2">
        <v>125.86</v>
      </c>
      <c r="I16" s="2">
        <v>62.03</v>
      </c>
      <c r="J16" s="2">
        <v>2.88</v>
      </c>
      <c r="K16" s="2">
        <v>5.73</v>
      </c>
      <c r="L16" s="2">
        <v>6.25</v>
      </c>
      <c r="M16" s="2">
        <v>11404.74</v>
      </c>
      <c r="N16" s="2">
        <v>22.7</v>
      </c>
      <c r="O16" s="8">
        <f t="shared" si="0"/>
        <v>502.41145374449337</v>
      </c>
      <c r="P16" s="9">
        <f t="shared" si="1"/>
        <v>0.29363615063968052</v>
      </c>
      <c r="Q16" s="2">
        <v>0.51</v>
      </c>
      <c r="R16" s="2">
        <v>1.66</v>
      </c>
      <c r="S16" s="2">
        <v>2.5</v>
      </c>
      <c r="T16" s="2">
        <v>1711</v>
      </c>
      <c r="U16" s="2">
        <v>28.44</v>
      </c>
      <c r="V16" s="2">
        <v>6.57</v>
      </c>
      <c r="W16" s="2">
        <v>5.3</v>
      </c>
      <c r="X16" s="2"/>
      <c r="Y16" s="2">
        <v>6.62</v>
      </c>
      <c r="Z16" s="2">
        <v>6.25</v>
      </c>
      <c r="AA16" s="2">
        <v>10.38</v>
      </c>
      <c r="AB16" s="2">
        <v>0.53</v>
      </c>
      <c r="AC16" s="2">
        <v>2.4500000000000002</v>
      </c>
      <c r="AD16" s="2">
        <v>26.36</v>
      </c>
    </row>
    <row r="17" spans="2:30" hidden="1" x14ac:dyDescent="0.3">
      <c r="B17" s="3">
        <v>19</v>
      </c>
      <c r="C17" t="s">
        <v>36</v>
      </c>
      <c r="D17" s="4">
        <v>283</v>
      </c>
      <c r="E17" s="4">
        <v>191.76</v>
      </c>
      <c r="F17" s="4">
        <v>49.16</v>
      </c>
      <c r="G17" s="4">
        <v>2.76</v>
      </c>
      <c r="H17" s="4">
        <v>102.55</v>
      </c>
      <c r="I17" s="4">
        <v>62.03</v>
      </c>
      <c r="J17" s="4"/>
      <c r="K17" s="4">
        <v>5.98</v>
      </c>
      <c r="L17" s="4">
        <v>4.1100000000000003</v>
      </c>
      <c r="M17" s="4">
        <v>189.04</v>
      </c>
      <c r="N17" s="4">
        <v>34.69</v>
      </c>
      <c r="O17" s="8">
        <f t="shared" si="0"/>
        <v>5.4494090515998845</v>
      </c>
      <c r="P17" s="9">
        <f t="shared" si="1"/>
        <v>0.11678973535361949</v>
      </c>
      <c r="Q17" s="4">
        <v>0.16</v>
      </c>
      <c r="R17" s="4">
        <v>2.58</v>
      </c>
      <c r="S17" s="4">
        <v>5.01</v>
      </c>
      <c r="T17" s="4">
        <v>46.66</v>
      </c>
      <c r="U17" s="4">
        <v>1.1499999999999999</v>
      </c>
      <c r="V17" s="4">
        <v>4.01</v>
      </c>
      <c r="W17" s="4">
        <v>6.57</v>
      </c>
      <c r="X17" s="4"/>
      <c r="Y17" s="4"/>
      <c r="Z17" s="4">
        <v>6.9</v>
      </c>
      <c r="AA17" s="4">
        <v>10.82</v>
      </c>
      <c r="AB17" s="4">
        <v>1.02</v>
      </c>
      <c r="AC17" s="4">
        <v>14.6</v>
      </c>
      <c r="AD17" s="4">
        <v>117.03</v>
      </c>
    </row>
    <row r="18" spans="2:30" hidden="1" x14ac:dyDescent="0.3">
      <c r="B18" s="1">
        <v>18</v>
      </c>
      <c r="C18" t="s">
        <v>35</v>
      </c>
      <c r="D18" s="2">
        <v>37.799999999999997</v>
      </c>
      <c r="E18" s="2">
        <v>51.46</v>
      </c>
      <c r="F18" s="2">
        <v>74.03</v>
      </c>
      <c r="G18" s="2">
        <v>3.09</v>
      </c>
      <c r="H18" s="2">
        <v>12.22</v>
      </c>
      <c r="I18" s="2">
        <v>62.03</v>
      </c>
      <c r="J18" s="2"/>
      <c r="K18" s="2">
        <v>1.3</v>
      </c>
      <c r="L18" s="2">
        <v>1.08</v>
      </c>
      <c r="M18" s="2">
        <v>46.48</v>
      </c>
      <c r="N18" s="2">
        <v>5.48</v>
      </c>
      <c r="O18" s="8">
        <f t="shared" si="0"/>
        <v>8.4817518248175165</v>
      </c>
      <c r="P18" s="9">
        <f t="shared" si="1"/>
        <v>0.17725709142774329</v>
      </c>
      <c r="Q18" s="2">
        <v>0.19</v>
      </c>
      <c r="R18" s="2">
        <v>3.35</v>
      </c>
      <c r="S18" s="2">
        <v>10.029999999999999</v>
      </c>
      <c r="T18" s="2">
        <v>47.85</v>
      </c>
      <c r="U18" s="2">
        <v>17.77</v>
      </c>
      <c r="V18" s="2">
        <v>8.8000000000000007</v>
      </c>
      <c r="W18" s="2">
        <v>14.81</v>
      </c>
      <c r="X18" s="2"/>
      <c r="Y18" s="2"/>
      <c r="Z18" s="2">
        <v>9.85</v>
      </c>
      <c r="AA18" s="2">
        <v>17.2</v>
      </c>
      <c r="AB18" s="2">
        <v>1.1000000000000001</v>
      </c>
      <c r="AC18" s="2">
        <v>7.33</v>
      </c>
      <c r="AD18" s="2">
        <v>60.72</v>
      </c>
    </row>
    <row r="19" spans="2:30" hidden="1" x14ac:dyDescent="0.3">
      <c r="B19" s="1">
        <v>11</v>
      </c>
      <c r="C19" t="s">
        <v>28</v>
      </c>
      <c r="D19" s="2">
        <v>1125.2</v>
      </c>
      <c r="E19" s="2">
        <v>109385.96</v>
      </c>
      <c r="F19" s="2">
        <v>280.68</v>
      </c>
      <c r="G19" s="2">
        <v>11.07</v>
      </c>
      <c r="H19" s="2">
        <v>96.64</v>
      </c>
      <c r="I19" s="2">
        <v>62.03</v>
      </c>
      <c r="J19" s="2">
        <v>1.51</v>
      </c>
      <c r="K19" s="2">
        <v>11.66</v>
      </c>
      <c r="L19" s="2">
        <v>15.56</v>
      </c>
      <c r="M19" s="2">
        <v>111714.36</v>
      </c>
      <c r="N19" s="2">
        <v>55.73</v>
      </c>
      <c r="O19" s="8">
        <f t="shared" si="0"/>
        <v>2004.5641485734793</v>
      </c>
      <c r="P19" s="9">
        <f t="shared" si="1"/>
        <v>0.28520673783068828</v>
      </c>
      <c r="Q19" s="2">
        <v>0.32</v>
      </c>
      <c r="R19" s="2">
        <v>0.88</v>
      </c>
      <c r="S19" s="2">
        <v>9.9700000000000006</v>
      </c>
      <c r="T19" s="2">
        <v>7028.46</v>
      </c>
      <c r="U19" s="2">
        <v>30.01</v>
      </c>
      <c r="V19" s="2">
        <v>16.100000000000001</v>
      </c>
      <c r="W19" s="2">
        <v>12.73</v>
      </c>
      <c r="X19" s="2"/>
      <c r="Y19" s="2">
        <v>12.3</v>
      </c>
      <c r="Z19" s="2">
        <v>10.92</v>
      </c>
      <c r="AA19" s="2">
        <v>14.89</v>
      </c>
      <c r="AB19" s="2">
        <v>0.52</v>
      </c>
      <c r="AC19" s="2">
        <v>15.88</v>
      </c>
      <c r="AD19" s="2">
        <v>35.69</v>
      </c>
    </row>
    <row r="20" spans="2:30" hidden="1" x14ac:dyDescent="0.3">
      <c r="B20" s="1">
        <v>16</v>
      </c>
      <c r="C20" t="s">
        <v>33</v>
      </c>
      <c r="D20" s="2">
        <v>131.33000000000001</v>
      </c>
      <c r="E20" s="2">
        <v>258.42</v>
      </c>
      <c r="F20" s="2">
        <v>138.24</v>
      </c>
      <c r="G20" s="2">
        <v>5.58</v>
      </c>
      <c r="H20" s="2">
        <v>23.54</v>
      </c>
      <c r="I20" s="2">
        <v>62.03</v>
      </c>
      <c r="J20" s="2">
        <v>0.71</v>
      </c>
      <c r="K20" s="2">
        <v>3.17</v>
      </c>
      <c r="L20" s="2">
        <v>2.14</v>
      </c>
      <c r="M20" s="2">
        <v>305.66000000000003</v>
      </c>
      <c r="N20" s="2">
        <v>9.73</v>
      </c>
      <c r="O20" s="8">
        <f t="shared" si="0"/>
        <v>31.414182939362796</v>
      </c>
      <c r="P20" s="9">
        <f t="shared" si="1"/>
        <v>0.26054725835085674</v>
      </c>
      <c r="Q20" s="2">
        <v>0.6</v>
      </c>
      <c r="R20" s="2">
        <v>1.42</v>
      </c>
      <c r="S20" s="2">
        <v>4.6100000000000003</v>
      </c>
      <c r="T20" s="2">
        <v>120.57</v>
      </c>
      <c r="U20" s="2">
        <v>48.98</v>
      </c>
      <c r="V20" s="2">
        <v>9.11</v>
      </c>
      <c r="W20" s="2">
        <v>14.46</v>
      </c>
      <c r="X20" s="2"/>
      <c r="Y20" s="2">
        <v>16.29</v>
      </c>
      <c r="Z20" s="2">
        <v>10.5</v>
      </c>
      <c r="AA20" s="2">
        <v>16.170000000000002</v>
      </c>
      <c r="AB20" s="2">
        <v>0.76</v>
      </c>
      <c r="AC20" s="2">
        <v>13.66</v>
      </c>
      <c r="AD20" s="2">
        <v>120.49</v>
      </c>
    </row>
    <row r="21" spans="2:30" hidden="1" x14ac:dyDescent="0.3">
      <c r="B21" s="1">
        <v>13</v>
      </c>
      <c r="C21" t="s">
        <v>30</v>
      </c>
      <c r="D21" s="2">
        <v>684.25</v>
      </c>
      <c r="E21" s="2">
        <v>27379.51</v>
      </c>
      <c r="F21" s="2">
        <v>221.42</v>
      </c>
      <c r="G21" s="2">
        <v>9.61</v>
      </c>
      <c r="H21" s="2">
        <v>72.59</v>
      </c>
      <c r="I21" s="2">
        <v>62.03</v>
      </c>
      <c r="J21" s="2">
        <v>2.73</v>
      </c>
      <c r="K21" s="2">
        <v>12.81</v>
      </c>
      <c r="L21" s="2">
        <v>9.02</v>
      </c>
      <c r="M21" s="2">
        <v>29856.51</v>
      </c>
      <c r="N21" s="2">
        <v>36.64</v>
      </c>
      <c r="O21" s="8">
        <f t="shared" si="0"/>
        <v>814.86108078602615</v>
      </c>
      <c r="P21" s="9">
        <f t="shared" si="1"/>
        <v>0.26847915415835594</v>
      </c>
      <c r="Q21" s="2">
        <v>1.2</v>
      </c>
      <c r="R21" s="2">
        <v>0.83</v>
      </c>
      <c r="S21" s="2">
        <v>7.06</v>
      </c>
      <c r="T21" s="2">
        <v>3035.1</v>
      </c>
      <c r="U21" s="2">
        <v>21.49</v>
      </c>
      <c r="V21" s="2">
        <v>13.41</v>
      </c>
      <c r="W21" s="2">
        <v>19.02</v>
      </c>
      <c r="X21" s="2"/>
      <c r="Y21" s="2">
        <v>21.74</v>
      </c>
      <c r="Z21" s="2">
        <v>13.62</v>
      </c>
      <c r="AA21" s="2">
        <v>15.14</v>
      </c>
      <c r="AB21" s="2">
        <v>0.64</v>
      </c>
      <c r="AC21" s="2">
        <v>11.05</v>
      </c>
      <c r="AD21" s="2">
        <v>47.55</v>
      </c>
    </row>
    <row r="22" spans="2:30" x14ac:dyDescent="0.3">
      <c r="B22" s="3">
        <v>8</v>
      </c>
      <c r="C22" t="s">
        <v>25</v>
      </c>
      <c r="D22" s="4">
        <v>1188.2</v>
      </c>
      <c r="E22" s="4">
        <v>31913.55</v>
      </c>
      <c r="F22" s="4">
        <v>370.19</v>
      </c>
      <c r="G22" s="4">
        <v>17.920000000000002</v>
      </c>
      <c r="H22" s="4">
        <v>61.56</v>
      </c>
      <c r="I22" s="4">
        <v>62.03</v>
      </c>
      <c r="J22" s="4">
        <v>0.88</v>
      </c>
      <c r="K22" s="4">
        <v>9.42</v>
      </c>
      <c r="L22" s="4">
        <v>8.64</v>
      </c>
      <c r="M22" s="4">
        <v>31508.95</v>
      </c>
      <c r="N22" s="4">
        <v>32.950000000000003</v>
      </c>
      <c r="O22" s="8">
        <f t="shared" si="0"/>
        <v>956.26555386949917</v>
      </c>
      <c r="P22" s="9">
        <f t="shared" si="1"/>
        <v>0.25898772421390864</v>
      </c>
      <c r="Q22" s="4">
        <v>0.21</v>
      </c>
      <c r="R22" s="4">
        <v>2.48</v>
      </c>
      <c r="S22" s="4">
        <v>11.68</v>
      </c>
      <c r="T22" s="4">
        <v>3692.32</v>
      </c>
      <c r="U22" s="4">
        <v>12.74</v>
      </c>
      <c r="V22" s="4">
        <v>14.04</v>
      </c>
      <c r="W22" s="4">
        <v>16.48</v>
      </c>
      <c r="X22" s="4"/>
      <c r="Y22" s="4">
        <v>14.47</v>
      </c>
      <c r="Z22" s="4">
        <v>16.07</v>
      </c>
      <c r="AA22" s="4">
        <v>19.52</v>
      </c>
      <c r="AB22" s="4">
        <v>0.81</v>
      </c>
      <c r="AC22" s="4">
        <v>13.13</v>
      </c>
      <c r="AD22" s="4">
        <v>28.85</v>
      </c>
    </row>
    <row r="23" spans="2:30" hidden="1" x14ac:dyDescent="0.3">
      <c r="B23" s="1">
        <v>24</v>
      </c>
      <c r="C23" t="s">
        <v>41</v>
      </c>
      <c r="D23" s="2">
        <v>68.510000000000005</v>
      </c>
      <c r="E23" s="2">
        <v>1117.4000000000001</v>
      </c>
      <c r="F23" s="2">
        <v>29.68</v>
      </c>
      <c r="G23" s="2">
        <v>1.31</v>
      </c>
      <c r="H23" s="2">
        <v>52.14</v>
      </c>
      <c r="I23" s="2">
        <v>62.03</v>
      </c>
      <c r="J23" s="2">
        <v>4.08</v>
      </c>
      <c r="K23" s="2">
        <v>6.8</v>
      </c>
      <c r="L23" s="2">
        <v>4.82</v>
      </c>
      <c r="M23" s="2">
        <v>1197.51</v>
      </c>
      <c r="N23" s="2">
        <v>19.97</v>
      </c>
      <c r="O23" s="8">
        <f t="shared" si="0"/>
        <v>59.965448172258391</v>
      </c>
      <c r="P23" s="9">
        <f t="shared" si="1"/>
        <v>0.25891817000111567</v>
      </c>
      <c r="Q23" s="2">
        <v>0.54</v>
      </c>
      <c r="R23" s="2">
        <v>0.88</v>
      </c>
      <c r="S23" s="2">
        <v>4.3600000000000003</v>
      </c>
      <c r="T23" s="2">
        <v>231.6</v>
      </c>
      <c r="U23" s="2">
        <v>30.71</v>
      </c>
      <c r="V23" s="2">
        <v>9.25</v>
      </c>
      <c r="W23" s="2">
        <v>13.92</v>
      </c>
      <c r="X23" s="2">
        <v>23.11</v>
      </c>
      <c r="Y23" s="2">
        <v>22.36</v>
      </c>
      <c r="Z23" s="2">
        <v>10.93</v>
      </c>
      <c r="AA23" s="2">
        <v>17.13</v>
      </c>
      <c r="AB23" s="2">
        <v>0.84</v>
      </c>
      <c r="AC23" s="2">
        <v>12.13</v>
      </c>
      <c r="AD23" s="2">
        <v>9.42</v>
      </c>
    </row>
    <row r="24" spans="2:30" x14ac:dyDescent="0.3">
      <c r="B24" s="3">
        <v>6</v>
      </c>
      <c r="C24" t="s">
        <v>23</v>
      </c>
      <c r="D24" s="4">
        <v>1464.8</v>
      </c>
      <c r="E24" s="4">
        <v>9604.11</v>
      </c>
      <c r="F24" s="4">
        <v>622.34</v>
      </c>
      <c r="G24" s="4">
        <v>29.47</v>
      </c>
      <c r="H24" s="4">
        <v>49.71</v>
      </c>
      <c r="I24" s="4">
        <v>62.03</v>
      </c>
      <c r="J24" s="4">
        <v>1.1200000000000001</v>
      </c>
      <c r="K24" s="4">
        <v>7.08</v>
      </c>
      <c r="L24" s="4">
        <v>7.61</v>
      </c>
      <c r="M24" s="4">
        <v>9508.59</v>
      </c>
      <c r="N24" s="4">
        <v>29.24</v>
      </c>
      <c r="O24" s="8">
        <f t="shared" si="0"/>
        <v>325.19117647058823</v>
      </c>
      <c r="P24" s="9">
        <f t="shared" si="1"/>
        <v>0.25777113588093081</v>
      </c>
      <c r="Q24" s="4">
        <v>0.28999999999999998</v>
      </c>
      <c r="R24" s="4">
        <v>4.51</v>
      </c>
      <c r="S24" s="4">
        <v>25.43</v>
      </c>
      <c r="T24" s="4">
        <v>1261.55</v>
      </c>
      <c r="U24" s="4">
        <v>17.96</v>
      </c>
      <c r="V24" s="4">
        <v>15.34</v>
      </c>
      <c r="W24" s="4">
        <v>15.3</v>
      </c>
      <c r="X24" s="12"/>
      <c r="Y24" s="4">
        <v>17.2</v>
      </c>
      <c r="Z24" s="4">
        <v>13.24</v>
      </c>
      <c r="AA24" s="4">
        <v>18.39</v>
      </c>
      <c r="AB24" s="4">
        <v>0.79</v>
      </c>
      <c r="AC24" s="4">
        <v>10.130000000000001</v>
      </c>
      <c r="AD24" s="4">
        <v>12.12</v>
      </c>
    </row>
    <row r="25" spans="2:30" x14ac:dyDescent="0.3">
      <c r="B25" s="1">
        <v>5</v>
      </c>
      <c r="C25" s="14" t="s">
        <v>22</v>
      </c>
      <c r="D25" s="2">
        <v>1743.9</v>
      </c>
      <c r="E25" s="2">
        <v>35638.480000000003</v>
      </c>
      <c r="F25" s="2">
        <v>543.28</v>
      </c>
      <c r="G25" s="2">
        <v>38.659999999999997</v>
      </c>
      <c r="H25" s="2">
        <v>44.75</v>
      </c>
      <c r="I25" s="2">
        <v>62.03</v>
      </c>
      <c r="J25" s="2">
        <v>1.02</v>
      </c>
      <c r="K25" s="2">
        <v>9.83</v>
      </c>
      <c r="L25" s="2">
        <v>6.5</v>
      </c>
      <c r="M25" s="2">
        <v>37420.11</v>
      </c>
      <c r="N25" s="2">
        <v>27.35</v>
      </c>
      <c r="O25" s="8">
        <f t="shared" si="0"/>
        <v>1368.1941499085922</v>
      </c>
      <c r="P25" s="9">
        <f t="shared" si="1"/>
        <v>0.24953476939704181</v>
      </c>
      <c r="Q25" s="2">
        <v>0.67</v>
      </c>
      <c r="R25" s="2">
        <v>2.14</v>
      </c>
      <c r="S25" s="2">
        <v>7.45</v>
      </c>
      <c r="T25" s="2">
        <v>5482.98</v>
      </c>
      <c r="U25" s="2">
        <v>9.26</v>
      </c>
      <c r="V25" s="2">
        <v>14.53</v>
      </c>
      <c r="W25" s="2">
        <v>24.47</v>
      </c>
      <c r="X25" s="2">
        <v>19.27</v>
      </c>
      <c r="Y25" s="2">
        <v>25.23</v>
      </c>
      <c r="Z25" s="2">
        <v>15.53</v>
      </c>
      <c r="AA25" s="2">
        <v>20.63</v>
      </c>
      <c r="AB25" s="2">
        <v>0.85</v>
      </c>
      <c r="AC25" s="2">
        <v>9.7100000000000009</v>
      </c>
      <c r="AD25" s="2">
        <v>36.979999999999997</v>
      </c>
    </row>
    <row r="26" spans="2:30" hidden="1" x14ac:dyDescent="0.3">
      <c r="B26" s="3">
        <v>10</v>
      </c>
      <c r="C26" t="s">
        <v>27</v>
      </c>
      <c r="D26" s="4">
        <v>505.75</v>
      </c>
      <c r="E26" s="4">
        <v>4873.12</v>
      </c>
      <c r="F26" s="4">
        <v>596.66</v>
      </c>
      <c r="G26" s="4">
        <v>13.55</v>
      </c>
      <c r="H26" s="4">
        <v>37.33</v>
      </c>
      <c r="I26" s="4">
        <v>62.03</v>
      </c>
      <c r="J26" s="4">
        <v>0.24</v>
      </c>
      <c r="K26" s="4">
        <v>3.04</v>
      </c>
      <c r="L26" s="4">
        <v>5.53</v>
      </c>
      <c r="M26" s="4">
        <v>4444.13</v>
      </c>
      <c r="N26" s="4">
        <v>18.8</v>
      </c>
      <c r="O26" s="8">
        <f t="shared" si="0"/>
        <v>236.38989361702127</v>
      </c>
      <c r="P26" s="9">
        <f t="shared" si="1"/>
        <v>0.26847538713332492</v>
      </c>
      <c r="Q26" s="4">
        <v>0.01</v>
      </c>
      <c r="R26" s="4">
        <v>10.119999999999999</v>
      </c>
      <c r="S26" s="4">
        <v>23.87</v>
      </c>
      <c r="T26" s="4">
        <v>880.49</v>
      </c>
      <c r="U26" s="4">
        <v>38.74</v>
      </c>
      <c r="V26" s="4">
        <v>14.83</v>
      </c>
      <c r="W26" s="4">
        <v>10.53</v>
      </c>
      <c r="X26" s="4"/>
      <c r="Y26" s="4">
        <v>17.97</v>
      </c>
      <c r="Z26" s="4">
        <v>9.86</v>
      </c>
      <c r="AA26" s="4">
        <v>13.75</v>
      </c>
      <c r="AB26" s="4">
        <v>0.64</v>
      </c>
      <c r="AC26" s="4">
        <v>12.28</v>
      </c>
      <c r="AD26" s="4">
        <v>124.99</v>
      </c>
    </row>
    <row r="27" spans="2:30" x14ac:dyDescent="0.3">
      <c r="B27" s="3">
        <v>14</v>
      </c>
      <c r="C27" t="s">
        <v>31</v>
      </c>
      <c r="D27" s="4">
        <v>152.09</v>
      </c>
      <c r="E27" s="4">
        <v>1247.97</v>
      </c>
      <c r="F27" s="4">
        <v>94.99</v>
      </c>
      <c r="G27" s="4">
        <v>6.08</v>
      </c>
      <c r="H27" s="4">
        <v>25</v>
      </c>
      <c r="I27" s="4">
        <v>62.03</v>
      </c>
      <c r="J27" s="4">
        <v>0.71</v>
      </c>
      <c r="K27" s="4">
        <v>5.04</v>
      </c>
      <c r="L27" s="4">
        <v>3.07</v>
      </c>
      <c r="M27" s="4">
        <v>1279</v>
      </c>
      <c r="N27" s="4">
        <v>13.92</v>
      </c>
      <c r="O27" s="8">
        <f t="shared" si="0"/>
        <v>91.882183908045974</v>
      </c>
      <c r="P27" s="9">
        <f t="shared" si="1"/>
        <v>0.22570484145531941</v>
      </c>
      <c r="Q27" s="4">
        <v>0.14000000000000001</v>
      </c>
      <c r="R27" s="4">
        <v>1.06</v>
      </c>
      <c r="S27" s="4">
        <v>20.99</v>
      </c>
      <c r="T27" s="4">
        <v>407.09</v>
      </c>
      <c r="U27" s="4">
        <v>1.72</v>
      </c>
      <c r="V27" s="4">
        <v>12.26</v>
      </c>
      <c r="W27" s="4">
        <v>21.41</v>
      </c>
      <c r="X27" s="4"/>
      <c r="Y27" s="4">
        <v>23.01</v>
      </c>
      <c r="Z27" s="4">
        <v>21.39</v>
      </c>
      <c r="AA27" s="4">
        <v>27.37</v>
      </c>
      <c r="AB27" s="4">
        <v>1.1200000000000001</v>
      </c>
      <c r="AC27" s="4">
        <v>9.2799999999999994</v>
      </c>
      <c r="AD27" s="4">
        <v>17.66</v>
      </c>
    </row>
    <row r="28" spans="2:30" hidden="1" x14ac:dyDescent="0.3">
      <c r="B28" s="1">
        <v>3</v>
      </c>
      <c r="C28" t="s">
        <v>20</v>
      </c>
      <c r="D28" s="2">
        <v>559.29999999999995</v>
      </c>
      <c r="E28" s="2">
        <v>27937.77</v>
      </c>
      <c r="F28" s="2">
        <v>362.86</v>
      </c>
      <c r="G28" s="2">
        <v>107.66</v>
      </c>
      <c r="H28" s="2">
        <v>70.040000000000006</v>
      </c>
      <c r="I28" s="2">
        <v>62.03</v>
      </c>
      <c r="J28" s="2">
        <v>-40.72</v>
      </c>
      <c r="K28" s="2">
        <v>8.15</v>
      </c>
      <c r="L28" s="2">
        <v>6.75</v>
      </c>
      <c r="M28" s="2">
        <v>28575.54</v>
      </c>
      <c r="N28" s="2">
        <v>31.97</v>
      </c>
      <c r="O28" s="8">
        <f t="shared" si="0"/>
        <v>893.82358461057242</v>
      </c>
      <c r="P28" s="9">
        <f t="shared" si="1"/>
        <v>0.2159797568686353</v>
      </c>
      <c r="Q28" s="2">
        <v>0.59</v>
      </c>
      <c r="R28" s="2">
        <v>2.16</v>
      </c>
      <c r="S28" s="2">
        <v>5.21</v>
      </c>
      <c r="T28" s="2">
        <v>4138.46</v>
      </c>
      <c r="U28" s="2">
        <v>11.88</v>
      </c>
      <c r="V28" s="2">
        <v>9.69</v>
      </c>
      <c r="W28" s="2">
        <v>10.48</v>
      </c>
      <c r="X28" s="2">
        <v>8.23</v>
      </c>
      <c r="Y28" s="2">
        <v>8.76</v>
      </c>
      <c r="Z28" s="2">
        <v>12.26</v>
      </c>
      <c r="AA28" s="2">
        <v>10.68</v>
      </c>
      <c r="AB28" s="2">
        <v>0.34</v>
      </c>
      <c r="AC28" s="2">
        <v>9.25</v>
      </c>
      <c r="AD28" s="2">
        <v>22.74</v>
      </c>
    </row>
    <row r="29" spans="2:30" hidden="1" x14ac:dyDescent="0.3">
      <c r="B29" s="3">
        <v>12</v>
      </c>
      <c r="C29" t="s">
        <v>29</v>
      </c>
      <c r="D29" s="4">
        <v>706.3</v>
      </c>
      <c r="E29" s="4">
        <v>53322.69</v>
      </c>
      <c r="F29" s="4">
        <v>143.08000000000001</v>
      </c>
      <c r="G29" s="4">
        <v>10.26</v>
      </c>
      <c r="H29" s="4">
        <v>63.26</v>
      </c>
      <c r="I29" s="4">
        <v>62.03</v>
      </c>
      <c r="J29" s="4">
        <v>0.9</v>
      </c>
      <c r="K29" s="4">
        <v>5.98</v>
      </c>
      <c r="L29" s="4">
        <v>6.85</v>
      </c>
      <c r="M29" s="4">
        <v>55289.8</v>
      </c>
      <c r="N29" s="4">
        <v>33.18</v>
      </c>
      <c r="O29" s="8">
        <f t="shared" si="0"/>
        <v>1666.3592525617844</v>
      </c>
      <c r="P29" s="9">
        <f t="shared" si="1"/>
        <v>0.21410931259025209</v>
      </c>
      <c r="Q29" s="4">
        <v>0.28000000000000003</v>
      </c>
      <c r="R29" s="4">
        <v>0.92</v>
      </c>
      <c r="S29" s="4">
        <v>6.95</v>
      </c>
      <c r="T29" s="4">
        <v>7782.75</v>
      </c>
      <c r="U29" s="4">
        <v>12.91</v>
      </c>
      <c r="V29" s="4">
        <v>11.32</v>
      </c>
      <c r="W29" s="4">
        <v>10.17</v>
      </c>
      <c r="X29" s="4">
        <v>4.08</v>
      </c>
      <c r="Y29" s="4">
        <v>6.5</v>
      </c>
      <c r="Z29" s="4">
        <v>9.85</v>
      </c>
      <c r="AA29" s="4">
        <v>11.99</v>
      </c>
      <c r="AB29" s="4">
        <v>0.57999999999999996</v>
      </c>
      <c r="AC29" s="4">
        <v>16.43</v>
      </c>
      <c r="AD29" s="4">
        <v>36.79</v>
      </c>
    </row>
    <row r="30" spans="2:30" x14ac:dyDescent="0.3">
      <c r="B30" s="1">
        <v>15</v>
      </c>
      <c r="C30" t="s">
        <v>32</v>
      </c>
      <c r="D30" s="2">
        <v>279.45</v>
      </c>
      <c r="E30" s="2">
        <v>3882.46</v>
      </c>
      <c r="F30" s="2">
        <v>117.38</v>
      </c>
      <c r="G30" s="2">
        <v>6.07</v>
      </c>
      <c r="H30" s="2">
        <v>46.52</v>
      </c>
      <c r="I30" s="2">
        <v>62.03</v>
      </c>
      <c r="J30" s="2">
        <v>1.43</v>
      </c>
      <c r="K30" s="2">
        <v>4.57</v>
      </c>
      <c r="L30" s="2">
        <v>4.25</v>
      </c>
      <c r="M30" s="2">
        <v>3769.69</v>
      </c>
      <c r="N30" s="2">
        <v>20.63</v>
      </c>
      <c r="O30" s="8">
        <f t="shared" si="0"/>
        <v>182.72855065438682</v>
      </c>
      <c r="P30" s="9">
        <f t="shared" si="1"/>
        <v>0.20008382131527366</v>
      </c>
      <c r="Q30" s="2">
        <v>0.33</v>
      </c>
      <c r="R30" s="2">
        <v>2.54</v>
      </c>
      <c r="S30" s="2">
        <v>4.58</v>
      </c>
      <c r="T30" s="2">
        <v>913.26</v>
      </c>
      <c r="U30" s="2">
        <v>8.0500000000000007</v>
      </c>
      <c r="V30" s="2">
        <v>9.14</v>
      </c>
      <c r="W30" s="2">
        <v>12.91</v>
      </c>
      <c r="X30" s="2">
        <v>10.130000000000001</v>
      </c>
      <c r="Y30" s="2">
        <v>9.93</v>
      </c>
      <c r="Z30" s="2">
        <v>9.82</v>
      </c>
      <c r="AA30" s="2">
        <v>14.87</v>
      </c>
      <c r="AB30" s="2">
        <v>0.8</v>
      </c>
      <c r="AC30" s="2">
        <v>0</v>
      </c>
      <c r="AD30" s="2">
        <v>37.11</v>
      </c>
    </row>
    <row r="31" spans="2:30" x14ac:dyDescent="0.3">
      <c r="B31" s="1">
        <v>9</v>
      </c>
      <c r="C31" t="s">
        <v>26</v>
      </c>
      <c r="D31" s="2">
        <v>441.1</v>
      </c>
      <c r="E31" s="2">
        <v>4043.7</v>
      </c>
      <c r="F31" s="2">
        <v>286.26</v>
      </c>
      <c r="G31" s="2">
        <v>17.559999999999999</v>
      </c>
      <c r="H31" s="2">
        <v>25.12</v>
      </c>
      <c r="I31" s="2">
        <v>62.03</v>
      </c>
      <c r="J31" s="2">
        <v>0.86</v>
      </c>
      <c r="K31" s="2">
        <v>6.78</v>
      </c>
      <c r="L31" s="2">
        <v>2.98</v>
      </c>
      <c r="M31" s="2">
        <v>3754.71</v>
      </c>
      <c r="N31" s="2">
        <v>14.07</v>
      </c>
      <c r="O31" s="8">
        <f t="shared" si="0"/>
        <v>266.85927505330488</v>
      </c>
      <c r="P31" s="9">
        <f t="shared" si="1"/>
        <v>0.19674664178632878</v>
      </c>
      <c r="Q31" s="2">
        <v>0.05</v>
      </c>
      <c r="R31" s="2">
        <v>2.41</v>
      </c>
      <c r="S31" s="2">
        <v>35.5</v>
      </c>
      <c r="T31" s="2">
        <v>1356.36</v>
      </c>
      <c r="U31" s="2">
        <v>8.9700000000000006</v>
      </c>
      <c r="V31" s="2">
        <v>11.87</v>
      </c>
      <c r="W31" s="2">
        <v>29.97</v>
      </c>
      <c r="X31" s="2">
        <v>19.190000000000001</v>
      </c>
      <c r="Y31" s="2">
        <v>23.22</v>
      </c>
      <c r="Z31" s="2">
        <v>28.43</v>
      </c>
      <c r="AA31" s="2">
        <v>39.01</v>
      </c>
      <c r="AB31" s="2">
        <v>1.72</v>
      </c>
      <c r="AC31" s="2">
        <v>31.74</v>
      </c>
      <c r="AD31" s="2">
        <v>20.3</v>
      </c>
    </row>
    <row r="32" spans="2:30" hidden="1" x14ac:dyDescent="0.3">
      <c r="B32" s="3">
        <v>17</v>
      </c>
      <c r="C32" t="s">
        <v>34</v>
      </c>
      <c r="D32" s="4">
        <v>542.4</v>
      </c>
      <c r="E32" s="4">
        <v>7561.89</v>
      </c>
      <c r="F32" s="4">
        <v>72.25</v>
      </c>
      <c r="G32" s="4">
        <v>3.19</v>
      </c>
      <c r="H32" s="4">
        <v>170.27</v>
      </c>
      <c r="I32" s="4">
        <v>62.03</v>
      </c>
      <c r="J32" s="4">
        <v>8.83</v>
      </c>
      <c r="K32" s="4">
        <v>8.1999999999999993</v>
      </c>
      <c r="L32" s="4">
        <v>3.4</v>
      </c>
      <c r="M32" s="4">
        <v>9051.41</v>
      </c>
      <c r="N32" s="4">
        <v>21.41</v>
      </c>
      <c r="O32" s="8">
        <f t="shared" si="0"/>
        <v>422.7655301261093</v>
      </c>
      <c r="P32" s="9">
        <f t="shared" si="1"/>
        <v>0.19019075966714322</v>
      </c>
      <c r="Q32" s="4">
        <v>1.99</v>
      </c>
      <c r="R32" s="4">
        <v>0.81</v>
      </c>
      <c r="S32" s="4">
        <v>1.37</v>
      </c>
      <c r="T32" s="4">
        <v>2222.85</v>
      </c>
      <c r="U32" s="4">
        <v>16.510000000000002</v>
      </c>
      <c r="V32" s="4">
        <v>2.2000000000000002</v>
      </c>
      <c r="W32" s="4">
        <v>5.08</v>
      </c>
      <c r="X32" s="4">
        <v>-1.83</v>
      </c>
      <c r="Y32" s="4">
        <v>-0.43</v>
      </c>
      <c r="Z32" s="4">
        <v>6.72</v>
      </c>
      <c r="AA32" s="4">
        <v>8.52</v>
      </c>
      <c r="AB32" s="4">
        <v>0.71</v>
      </c>
      <c r="AC32" s="4">
        <v>12.14</v>
      </c>
      <c r="AD32" s="4">
        <v>65.83</v>
      </c>
    </row>
    <row r="33" spans="2:31" hidden="1" x14ac:dyDescent="0.3">
      <c r="B33" s="1">
        <v>22</v>
      </c>
      <c r="C33" t="s">
        <v>39</v>
      </c>
      <c r="D33" s="2">
        <v>136.94999999999999</v>
      </c>
      <c r="E33" s="2">
        <v>225.78</v>
      </c>
      <c r="F33" s="2">
        <v>173.2</v>
      </c>
      <c r="G33" s="2">
        <v>2.21</v>
      </c>
      <c r="H33" s="2">
        <v>62.03</v>
      </c>
      <c r="I33" s="2">
        <v>62.03</v>
      </c>
      <c r="J33" s="2">
        <v>0.27</v>
      </c>
      <c r="K33" s="2">
        <v>4.22</v>
      </c>
      <c r="L33" s="2">
        <v>4.91</v>
      </c>
      <c r="M33" s="2">
        <v>221.12</v>
      </c>
      <c r="N33" s="2">
        <v>29.88</v>
      </c>
      <c r="O33" s="8">
        <f t="shared" si="0"/>
        <v>7.4002677376171357</v>
      </c>
      <c r="P33" s="9">
        <f t="shared" si="1"/>
        <v>0.16077053525129559</v>
      </c>
      <c r="Q33" s="2">
        <v>0</v>
      </c>
      <c r="R33" s="2">
        <v>2.0099999999999998</v>
      </c>
      <c r="S33" s="2">
        <v>44.91</v>
      </c>
      <c r="T33" s="2">
        <v>46.03</v>
      </c>
      <c r="U33" s="2">
        <v>69.040000000000006</v>
      </c>
      <c r="V33" s="2">
        <v>7.91</v>
      </c>
      <c r="W33" s="2">
        <v>10.63</v>
      </c>
      <c r="X33" s="2"/>
      <c r="Y33" s="2">
        <v>22.32</v>
      </c>
      <c r="Z33" s="2">
        <v>8.14</v>
      </c>
      <c r="AA33" s="2">
        <v>14.42</v>
      </c>
      <c r="AB33" s="2">
        <v>1.03</v>
      </c>
      <c r="AC33" s="2">
        <v>16.53</v>
      </c>
      <c r="AD33" s="2">
        <v>25.61</v>
      </c>
    </row>
    <row r="34" spans="2:31" hidden="1" x14ac:dyDescent="0.3">
      <c r="B34" s="3">
        <v>4</v>
      </c>
      <c r="C34" t="s">
        <v>21</v>
      </c>
      <c r="D34" s="4">
        <v>6880.5</v>
      </c>
      <c r="E34" s="4">
        <v>98931.03</v>
      </c>
      <c r="F34" s="4">
        <v>1487.6</v>
      </c>
      <c r="G34" s="4">
        <v>100.56</v>
      </c>
      <c r="H34" s="4">
        <v>68.42</v>
      </c>
      <c r="I34" s="4">
        <v>62.03</v>
      </c>
      <c r="J34" s="4">
        <v>1.87</v>
      </c>
      <c r="K34" s="4">
        <v>12.05</v>
      </c>
      <c r="L34" s="4">
        <v>4.54</v>
      </c>
      <c r="M34" s="4">
        <v>105435.13</v>
      </c>
      <c r="N34" s="4">
        <v>32.39</v>
      </c>
      <c r="O34" s="8">
        <f t="shared" si="0"/>
        <v>3255.1753627662861</v>
      </c>
      <c r="P34" s="9">
        <f t="shared" si="1"/>
        <v>0.1493610793230378</v>
      </c>
      <c r="Q34" s="4">
        <v>0.96</v>
      </c>
      <c r="R34" s="4">
        <v>1.54</v>
      </c>
      <c r="S34" s="4">
        <v>5.45</v>
      </c>
      <c r="T34" s="4">
        <v>21794</v>
      </c>
      <c r="U34" s="4">
        <v>14.35</v>
      </c>
      <c r="V34" s="4">
        <v>6.91</v>
      </c>
      <c r="W34" s="4">
        <v>19.09</v>
      </c>
      <c r="X34" s="4">
        <v>10.96</v>
      </c>
      <c r="Y34" s="4">
        <v>13.99</v>
      </c>
      <c r="Z34" s="4">
        <v>12.61</v>
      </c>
      <c r="AA34" s="4">
        <v>17.12</v>
      </c>
      <c r="AB34" s="4">
        <v>1.17</v>
      </c>
      <c r="AC34" s="4">
        <v>24.05</v>
      </c>
      <c r="AD34" s="4">
        <v>50.51</v>
      </c>
    </row>
    <row r="35" spans="2:31" hidden="1" x14ac:dyDescent="0.3">
      <c r="B35" s="1">
        <v>26</v>
      </c>
      <c r="C35" t="s">
        <v>43</v>
      </c>
      <c r="D35" s="2">
        <v>187.5</v>
      </c>
      <c r="E35" s="2">
        <v>2025.18</v>
      </c>
      <c r="F35" s="2">
        <v>37.57</v>
      </c>
      <c r="G35" s="2">
        <v>0.57999999999999996</v>
      </c>
      <c r="H35" s="2">
        <v>1054.78</v>
      </c>
      <c r="I35" s="2">
        <v>62.03</v>
      </c>
      <c r="J35" s="2">
        <v>-25.64</v>
      </c>
      <c r="K35" s="2">
        <v>2.04</v>
      </c>
      <c r="L35" s="2">
        <v>1.86</v>
      </c>
      <c r="M35" s="2">
        <v>2466.25</v>
      </c>
      <c r="N35" s="2">
        <v>15.39</v>
      </c>
      <c r="O35" s="8">
        <f t="shared" si="0"/>
        <v>160.25016244314489</v>
      </c>
      <c r="P35" s="9">
        <f t="shared" si="1"/>
        <v>0.14742967767272475</v>
      </c>
      <c r="Q35" s="2">
        <v>0.48</v>
      </c>
      <c r="R35" s="2">
        <v>1.45</v>
      </c>
      <c r="S35" s="2">
        <v>2.44</v>
      </c>
      <c r="T35" s="2">
        <v>1086.96</v>
      </c>
      <c r="U35" s="2">
        <v>16.41</v>
      </c>
      <c r="V35" s="2">
        <v>0.18</v>
      </c>
      <c r="W35" s="2">
        <v>0.19</v>
      </c>
      <c r="X35" s="2">
        <v>5.84</v>
      </c>
      <c r="Y35" s="2">
        <v>5.43</v>
      </c>
      <c r="Z35" s="2">
        <v>0.22</v>
      </c>
      <c r="AA35" s="2">
        <v>6.61</v>
      </c>
      <c r="AB35" s="2">
        <v>0.66</v>
      </c>
      <c r="AC35" s="2">
        <v>0.41</v>
      </c>
      <c r="AD35" s="2">
        <v>58.84</v>
      </c>
    </row>
    <row r="36" spans="2:31" hidden="1" x14ac:dyDescent="0.3">
      <c r="B36" s="3">
        <v>34</v>
      </c>
      <c r="C36" t="s">
        <v>51</v>
      </c>
      <c r="D36" s="4">
        <v>167</v>
      </c>
      <c r="E36" s="4">
        <v>257.18</v>
      </c>
      <c r="F36" s="4"/>
      <c r="G36" s="4"/>
      <c r="H36" s="4">
        <v>17</v>
      </c>
      <c r="I36" s="4">
        <v>62.03</v>
      </c>
      <c r="J36" s="4">
        <v>0.22</v>
      </c>
      <c r="K36" s="4"/>
      <c r="L36" s="4">
        <v>4.63</v>
      </c>
      <c r="M36" s="4">
        <v>255.57</v>
      </c>
      <c r="N36" s="4">
        <v>11.99</v>
      </c>
      <c r="O36" s="8">
        <f t="shared" si="0"/>
        <v>21.315262718932441</v>
      </c>
      <c r="P36" s="9">
        <f t="shared" si="1"/>
        <v>0.38343699800202269</v>
      </c>
      <c r="Q36" s="4">
        <v>0.13</v>
      </c>
      <c r="R36" s="4">
        <v>3.99</v>
      </c>
      <c r="S36" s="4">
        <v>12.08</v>
      </c>
      <c r="T36" s="4">
        <v>55.59</v>
      </c>
      <c r="U36" s="4">
        <v>14.03</v>
      </c>
      <c r="V36" s="4">
        <v>27.22</v>
      </c>
      <c r="W36" s="4">
        <v>16.010000000000002</v>
      </c>
      <c r="X36" s="4"/>
      <c r="Y36" s="4">
        <v>21.62</v>
      </c>
      <c r="Z36" s="4">
        <v>15.89</v>
      </c>
      <c r="AA36" s="4">
        <v>17.149999999999999</v>
      </c>
      <c r="AB36" s="4">
        <v>0.46</v>
      </c>
      <c r="AC36" s="4">
        <v>5.96</v>
      </c>
      <c r="AD36" s="4">
        <v>328.1</v>
      </c>
    </row>
    <row r="37" spans="2:31" x14ac:dyDescent="0.3">
      <c r="B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2:31" x14ac:dyDescent="0.3">
      <c r="B38" s="5"/>
      <c r="C38" s="6" t="s">
        <v>52</v>
      </c>
      <c r="D38" s="7">
        <v>233.47</v>
      </c>
      <c r="E38" s="7">
        <v>1636.58</v>
      </c>
      <c r="F38" s="7">
        <v>127.81</v>
      </c>
      <c r="G38" s="7">
        <v>3.19</v>
      </c>
      <c r="H38" s="7">
        <v>61.8</v>
      </c>
      <c r="I38" s="7">
        <v>62.03</v>
      </c>
      <c r="J38" s="7">
        <v>1.1599999999999999</v>
      </c>
      <c r="K38" s="7">
        <v>5.86</v>
      </c>
      <c r="L38" s="7">
        <v>4.91</v>
      </c>
      <c r="M38" s="7">
        <v>2362.1999999999998</v>
      </c>
      <c r="N38" s="7">
        <v>22.7</v>
      </c>
      <c r="O38" s="8">
        <f>M38/N38</f>
        <v>104.06167400881057</v>
      </c>
      <c r="P38" s="9">
        <f>O38/T38</f>
        <v>0.25878263704568427</v>
      </c>
      <c r="Q38" s="7">
        <v>0.28000000000000003</v>
      </c>
      <c r="R38" s="7">
        <v>2.0099999999999998</v>
      </c>
      <c r="S38" s="7">
        <v>6.61</v>
      </c>
      <c r="T38" s="7">
        <v>402.12</v>
      </c>
      <c r="U38" s="7">
        <v>14.35</v>
      </c>
      <c r="V38" s="7">
        <v>10.34</v>
      </c>
      <c r="W38" s="7">
        <v>10.63</v>
      </c>
      <c r="X38" s="7">
        <v>10.130000000000001</v>
      </c>
      <c r="Y38" s="7">
        <v>15.38</v>
      </c>
      <c r="Z38" s="7">
        <v>9.86</v>
      </c>
      <c r="AA38" s="7">
        <v>14.42</v>
      </c>
      <c r="AB38" s="7">
        <v>0.71</v>
      </c>
      <c r="AC38" s="7">
        <v>9.7100000000000009</v>
      </c>
      <c r="AD38" s="7">
        <v>37.049999999999997</v>
      </c>
    </row>
    <row r="39" spans="2:31" x14ac:dyDescent="0.3">
      <c r="C39" t="s">
        <v>64</v>
      </c>
      <c r="D39" s="10">
        <f t="shared" ref="D39:AD39" si="2">AVERAGE(D3:D36)</f>
        <v>884.0767647058824</v>
      </c>
      <c r="E39" s="10">
        <f t="shared" si="2"/>
        <v>13367.98529411765</v>
      </c>
      <c r="F39" s="10">
        <f t="shared" si="2"/>
        <v>375.64600000000002</v>
      </c>
      <c r="G39" s="10">
        <f t="shared" si="2"/>
        <v>21.913636363636364</v>
      </c>
      <c r="H39" s="10">
        <f t="shared" si="2"/>
        <v>109.1846875</v>
      </c>
      <c r="I39" s="10">
        <f t="shared" si="2"/>
        <v>62.029999999999987</v>
      </c>
      <c r="J39" s="10">
        <f t="shared" si="2"/>
        <v>-0.19370370370370368</v>
      </c>
      <c r="K39" s="10">
        <f t="shared" si="2"/>
        <v>6.1974999999999998</v>
      </c>
      <c r="L39" s="10">
        <f t="shared" si="2"/>
        <v>6.9612121212121201</v>
      </c>
      <c r="M39" s="10">
        <f t="shared" si="2"/>
        <v>14322.972121212122</v>
      </c>
      <c r="N39" s="10">
        <f t="shared" si="2"/>
        <v>39.394545454545465</v>
      </c>
      <c r="O39" s="10">
        <f t="shared" si="2"/>
        <v>435.66417624707481</v>
      </c>
      <c r="P39" s="10">
        <f t="shared" si="2"/>
        <v>0.25510567889072927</v>
      </c>
      <c r="Q39" s="10">
        <f t="shared" si="2"/>
        <v>0.61515151515151512</v>
      </c>
      <c r="R39" s="10">
        <f t="shared" si="2"/>
        <v>13.890000000000002</v>
      </c>
      <c r="S39" s="10">
        <f t="shared" si="2"/>
        <v>12.050937499999998</v>
      </c>
      <c r="T39" s="10">
        <f t="shared" si="2"/>
        <v>1964.5044117647062</v>
      </c>
      <c r="U39" s="10">
        <f t="shared" si="2"/>
        <v>11.772727272727275</v>
      </c>
      <c r="V39" s="10">
        <f t="shared" si="2"/>
        <v>9.9411764705882355</v>
      </c>
      <c r="W39" s="10">
        <f t="shared" si="2"/>
        <v>9.4396969696969677</v>
      </c>
      <c r="X39" s="10">
        <f t="shared" si="2"/>
        <v>10.466000000000001</v>
      </c>
      <c r="Y39" s="10">
        <f t="shared" si="2"/>
        <v>12.536428571428573</v>
      </c>
      <c r="Z39" s="10">
        <f t="shared" si="2"/>
        <v>9.7218181818181808</v>
      </c>
      <c r="AA39" s="10">
        <f t="shared" si="2"/>
        <v>12.967272727272729</v>
      </c>
      <c r="AB39" s="10">
        <f t="shared" si="2"/>
        <v>0.7130303030303029</v>
      </c>
      <c r="AC39" s="10">
        <f t="shared" si="2"/>
        <v>10.601612903225808</v>
      </c>
      <c r="AD39" s="10">
        <f t="shared" si="2"/>
        <v>71.444062499999987</v>
      </c>
      <c r="AE39" s="10"/>
    </row>
  </sheetData>
  <autoFilter ref="B2:AD36" xr:uid="{7C8108EF-674C-4E1C-8C3F-B2B5A78A72F5}">
    <filterColumn colId="1">
      <filters>
        <filter val="Artemis Medicare"/>
        <filter val="Aster DM Health."/>
        <filter val="Dr Agarwal's Eye"/>
        <filter val="Fortis Health."/>
        <filter val="Global Health"/>
        <filter val="GPT Healthcare"/>
        <filter val="Indrapr.Medical"/>
        <filter val="Jupiter Life Lin"/>
        <filter val="Kovai Medical"/>
        <filter val="Narayana Hrudaya"/>
        <filter val="Rainbow Child."/>
      </filters>
    </filterColumn>
    <filterColumn colId="3">
      <customFilters>
        <customFilter operator="greaterThanOrEqual" val="200"/>
      </customFilters>
    </filterColumn>
    <filterColumn colId="5">
      <customFilters>
        <customFilter operator="greaterThanOrEqual" val="2"/>
      </customFilters>
    </filterColumn>
    <filterColumn colId="6">
      <customFilters>
        <customFilter operator="lessThanOrEqual" val="110"/>
      </customFilters>
    </filterColumn>
    <filterColumn colId="8">
      <customFilters>
        <customFilter operator="lessThanOrEqual" val="4"/>
      </customFilters>
    </filterColumn>
    <filterColumn colId="9">
      <customFilters>
        <customFilter operator="lessThanOrEqual" val="12"/>
      </customFilters>
    </filterColumn>
    <filterColumn colId="10">
      <customFilters>
        <customFilter operator="lessThanOrEqual" val="12"/>
      </customFilters>
    </filterColumn>
    <filterColumn colId="12">
      <customFilters>
        <customFilter operator="lessThanOrEqual" val="50"/>
      </customFilters>
    </filterColumn>
    <filterColumn colId="16">
      <customFilters>
        <customFilter operator="greaterThanOrEqual" val="0.6"/>
      </customFilters>
    </filterColumn>
    <filterColumn colId="23">
      <customFilters>
        <customFilter operator="greaterThanOrEqual" val="9"/>
      </customFilters>
    </filterColumn>
    <filterColumn colId="28">
      <customFilters>
        <customFilter operator="lessThanOrEqual" val="100"/>
      </customFilters>
    </filterColumn>
    <sortState xmlns:xlrd2="http://schemas.microsoft.com/office/spreadsheetml/2017/richdata2" ref="B10:AD35">
      <sortCondition descending="1" ref="P2:P36"/>
    </sortState>
  </autoFilter>
  <pageMargins left="0.7" right="0.7" top="0.75" bottom="0.75" header="0.3" footer="0.3"/>
  <ignoredErrors>
    <ignoredError sqref="T39:AD39 D39:O39 Q39:R3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B99C-CF74-469E-BA33-4B7B67FC7AF1}">
  <dimension ref="D4:AF26"/>
  <sheetViews>
    <sheetView zoomScale="86" workbookViewId="0">
      <selection activeCell="R9" sqref="R9"/>
    </sheetView>
  </sheetViews>
  <sheetFormatPr defaultRowHeight="14.4" x14ac:dyDescent="0.3"/>
  <cols>
    <col min="10" max="14" width="9" bestFit="1" customWidth="1"/>
    <col min="15" max="15" width="11" bestFit="1" customWidth="1"/>
    <col min="16" max="23" width="9" bestFit="1" customWidth="1"/>
    <col min="24" max="24" width="10.88671875" bestFit="1" customWidth="1"/>
    <col min="25" max="29" width="9" bestFit="1" customWidth="1"/>
  </cols>
  <sheetData>
    <row r="4" spans="4:32" x14ac:dyDescent="0.3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57</v>
      </c>
      <c r="R4" t="s">
        <v>58</v>
      </c>
      <c r="S4" t="s">
        <v>13</v>
      </c>
      <c r="T4" t="s">
        <v>62</v>
      </c>
      <c r="U4" t="s">
        <v>63</v>
      </c>
      <c r="V4" t="s">
        <v>15</v>
      </c>
      <c r="W4" t="s">
        <v>16</v>
      </c>
      <c r="X4" t="s">
        <v>17</v>
      </c>
      <c r="Y4" t="s">
        <v>53</v>
      </c>
      <c r="Z4" t="s">
        <v>54</v>
      </c>
      <c r="AA4" t="s">
        <v>55</v>
      </c>
      <c r="AB4" t="s">
        <v>56</v>
      </c>
      <c r="AC4" t="s">
        <v>14</v>
      </c>
      <c r="AD4" t="s">
        <v>59</v>
      </c>
      <c r="AE4" t="s">
        <v>60</v>
      </c>
      <c r="AF4" t="s">
        <v>61</v>
      </c>
    </row>
    <row r="5" spans="4:32" x14ac:dyDescent="0.3">
      <c r="D5" s="1">
        <v>7</v>
      </c>
      <c r="E5" t="s">
        <v>24</v>
      </c>
      <c r="F5" s="2">
        <v>1402.5</v>
      </c>
      <c r="G5" s="2">
        <v>14242.62</v>
      </c>
      <c r="H5" s="2">
        <v>457.7</v>
      </c>
      <c r="I5" s="2">
        <v>23.97</v>
      </c>
      <c r="J5" s="2">
        <v>58.51</v>
      </c>
      <c r="K5" s="2">
        <v>62.03</v>
      </c>
      <c r="L5" s="2">
        <v>1.7</v>
      </c>
      <c r="M5" s="2">
        <v>9.6999999999999993</v>
      </c>
      <c r="N5" s="2">
        <v>9.4</v>
      </c>
      <c r="O5" s="2">
        <v>14985.92</v>
      </c>
      <c r="P5" s="2">
        <v>27.71</v>
      </c>
      <c r="Q5" s="8">
        <v>540.81270299530854</v>
      </c>
      <c r="R5" s="9">
        <v>0.35676720496830799</v>
      </c>
      <c r="S5" s="2">
        <v>0.52</v>
      </c>
      <c r="T5" s="2">
        <v>5.46</v>
      </c>
      <c r="U5" s="2">
        <v>5.55</v>
      </c>
      <c r="V5" s="2">
        <v>1515.87</v>
      </c>
      <c r="W5" s="2">
        <v>16.88</v>
      </c>
      <c r="X5" s="2">
        <v>16.11</v>
      </c>
      <c r="Y5" s="2">
        <v>17.850000000000001</v>
      </c>
      <c r="Z5" s="2">
        <v>17.47</v>
      </c>
      <c r="AA5" s="2">
        <v>19.7</v>
      </c>
      <c r="AB5" s="2">
        <v>14.24</v>
      </c>
      <c r="AC5" s="2">
        <v>18.86</v>
      </c>
      <c r="AD5" s="2">
        <v>0.67</v>
      </c>
      <c r="AE5" s="2">
        <v>7.56</v>
      </c>
      <c r="AF5" s="2">
        <v>18.61</v>
      </c>
    </row>
    <row r="6" spans="4:32" x14ac:dyDescent="0.3">
      <c r="D6" s="3">
        <v>2</v>
      </c>
      <c r="E6" t="s">
        <v>19</v>
      </c>
      <c r="F6" s="4">
        <v>4343</v>
      </c>
      <c r="G6" s="4">
        <v>2041.21</v>
      </c>
      <c r="H6" s="4">
        <v>2006.86</v>
      </c>
      <c r="I6" s="4">
        <v>116.28</v>
      </c>
      <c r="J6" s="4">
        <v>37.35</v>
      </c>
      <c r="K6" s="4">
        <v>62.03</v>
      </c>
      <c r="L6" s="4">
        <v>1.1599999999999999</v>
      </c>
      <c r="M6" s="4">
        <v>9.74</v>
      </c>
      <c r="N6" s="4">
        <v>5.14</v>
      </c>
      <c r="O6" s="4">
        <v>2362.1999999999998</v>
      </c>
      <c r="P6" s="4">
        <v>19.11</v>
      </c>
      <c r="Q6" s="8">
        <v>123.61067503924646</v>
      </c>
      <c r="R6" s="9">
        <v>0.31124430325883534</v>
      </c>
      <c r="S6" s="4">
        <v>1.59</v>
      </c>
      <c r="T6" s="4">
        <v>0.64</v>
      </c>
      <c r="U6" s="4">
        <v>6.26</v>
      </c>
      <c r="V6" s="4">
        <v>397.15</v>
      </c>
      <c r="W6" s="4">
        <v>24.38</v>
      </c>
      <c r="X6" s="4">
        <v>13.76</v>
      </c>
      <c r="Y6" s="4">
        <v>29.8</v>
      </c>
      <c r="Z6" s="4">
        <v>28.71</v>
      </c>
      <c r="AA6" s="4">
        <v>29.95</v>
      </c>
      <c r="AB6" s="4">
        <v>16.690000000000001</v>
      </c>
      <c r="AC6" s="4">
        <v>17.39</v>
      </c>
      <c r="AD6" s="4">
        <v>0.72</v>
      </c>
      <c r="AE6" s="4">
        <v>3.62</v>
      </c>
      <c r="AF6" s="4">
        <v>12.84</v>
      </c>
    </row>
    <row r="7" spans="4:32" x14ac:dyDescent="0.3">
      <c r="D7" s="1">
        <v>1</v>
      </c>
      <c r="E7" t="s">
        <v>18</v>
      </c>
      <c r="F7" s="2">
        <v>6182.95</v>
      </c>
      <c r="G7" s="2">
        <v>6764.15</v>
      </c>
      <c r="H7" s="2">
        <v>2874.25</v>
      </c>
      <c r="I7" s="2">
        <v>190.96</v>
      </c>
      <c r="J7" s="2">
        <v>32.369999999999997</v>
      </c>
      <c r="K7" s="2">
        <v>62.03</v>
      </c>
      <c r="L7" s="2">
        <v>1.89</v>
      </c>
      <c r="M7" s="2">
        <v>6.23</v>
      </c>
      <c r="N7" s="2">
        <v>4.93</v>
      </c>
      <c r="O7" s="2">
        <v>6905.56</v>
      </c>
      <c r="P7" s="2">
        <v>16.93</v>
      </c>
      <c r="Q7" s="8">
        <v>407.88895451860606</v>
      </c>
      <c r="R7" s="9">
        <v>0.2974859636783112</v>
      </c>
      <c r="S7" s="2">
        <v>0.38</v>
      </c>
      <c r="T7" s="2">
        <v>1.22</v>
      </c>
      <c r="U7" s="2">
        <v>9.49</v>
      </c>
      <c r="V7" s="2">
        <v>1371.12</v>
      </c>
      <c r="W7" s="2">
        <v>12.43</v>
      </c>
      <c r="X7" s="2">
        <v>15.24</v>
      </c>
      <c r="Y7" s="2">
        <v>21.16</v>
      </c>
      <c r="Z7" s="2">
        <v>20.82</v>
      </c>
      <c r="AA7" s="2">
        <v>19.760000000000002</v>
      </c>
      <c r="AB7" s="2">
        <v>16.87</v>
      </c>
      <c r="AC7" s="2">
        <v>22.98</v>
      </c>
      <c r="AD7" s="2">
        <v>0.85</v>
      </c>
      <c r="AE7" s="2">
        <v>23.83</v>
      </c>
      <c r="AF7" s="2">
        <v>8.2100000000000009</v>
      </c>
    </row>
    <row r="8" spans="4:32" x14ac:dyDescent="0.3">
      <c r="D8" s="1">
        <v>20</v>
      </c>
      <c r="E8" t="s">
        <v>37</v>
      </c>
      <c r="F8" s="2">
        <v>338.5</v>
      </c>
      <c r="G8" s="2">
        <v>10701.96</v>
      </c>
      <c r="H8" s="2">
        <v>95.52</v>
      </c>
      <c r="I8" s="2">
        <v>2.64</v>
      </c>
      <c r="J8" s="2">
        <v>125.86</v>
      </c>
      <c r="K8" s="2">
        <v>62.03</v>
      </c>
      <c r="L8" s="2">
        <v>2.88</v>
      </c>
      <c r="M8" s="2">
        <v>5.73</v>
      </c>
      <c r="N8" s="2">
        <v>6.25</v>
      </c>
      <c r="O8" s="2">
        <v>11404.74</v>
      </c>
      <c r="P8" s="2">
        <v>22.7</v>
      </c>
      <c r="Q8" s="8">
        <v>502.41145374449337</v>
      </c>
      <c r="R8" s="9">
        <v>0.29363615063968052</v>
      </c>
      <c r="S8" s="2">
        <v>0.51</v>
      </c>
      <c r="T8" s="2">
        <v>1.66</v>
      </c>
      <c r="U8" s="2">
        <v>2.5</v>
      </c>
      <c r="V8" s="2">
        <v>1711</v>
      </c>
      <c r="W8" s="2">
        <v>28.44</v>
      </c>
      <c r="X8" s="2">
        <v>6.57</v>
      </c>
      <c r="Y8" s="2">
        <v>5.3</v>
      </c>
      <c r="Z8" s="2"/>
      <c r="AA8" s="2">
        <v>6.62</v>
      </c>
      <c r="AB8" s="2">
        <v>6.25</v>
      </c>
      <c r="AC8" s="2">
        <v>10.38</v>
      </c>
      <c r="AD8" s="2">
        <v>0.53</v>
      </c>
      <c r="AE8" s="2">
        <v>2.4500000000000002</v>
      </c>
      <c r="AF8" s="2">
        <v>26.36</v>
      </c>
    </row>
    <row r="9" spans="4:32" x14ac:dyDescent="0.3">
      <c r="D9" s="1">
        <v>11</v>
      </c>
      <c r="E9" t="s">
        <v>28</v>
      </c>
      <c r="F9" s="2">
        <v>1125.2</v>
      </c>
      <c r="G9" s="2">
        <v>109385.96</v>
      </c>
      <c r="H9" s="2">
        <v>280.68</v>
      </c>
      <c r="I9" s="2">
        <v>11.07</v>
      </c>
      <c r="J9" s="2">
        <v>96.64</v>
      </c>
      <c r="K9" s="2">
        <v>62.03</v>
      </c>
      <c r="L9" s="2">
        <v>1.51</v>
      </c>
      <c r="M9" s="2">
        <v>11.66</v>
      </c>
      <c r="N9" s="2">
        <v>15.56</v>
      </c>
      <c r="O9" s="2">
        <v>111714.36</v>
      </c>
      <c r="P9" s="2">
        <v>55.73</v>
      </c>
      <c r="Q9" s="8">
        <v>2004.5641485734793</v>
      </c>
      <c r="R9" s="9">
        <v>0.28520673783068828</v>
      </c>
      <c r="S9" s="2">
        <v>0.32</v>
      </c>
      <c r="T9" s="2">
        <v>0.88</v>
      </c>
      <c r="U9" s="2">
        <v>9.9700000000000006</v>
      </c>
      <c r="V9" s="2">
        <v>7028.46</v>
      </c>
      <c r="W9" s="2">
        <v>30.01</v>
      </c>
      <c r="X9" s="2">
        <v>16.100000000000001</v>
      </c>
      <c r="Y9" s="2">
        <v>12.73</v>
      </c>
      <c r="Z9" s="2"/>
      <c r="AA9" s="2">
        <v>12.3</v>
      </c>
      <c r="AB9" s="2">
        <v>10.92</v>
      </c>
      <c r="AC9" s="2">
        <v>14.89</v>
      </c>
      <c r="AD9" s="2">
        <v>0.52</v>
      </c>
      <c r="AE9" s="2">
        <v>15.88</v>
      </c>
      <c r="AF9" s="2">
        <v>35.69</v>
      </c>
    </row>
    <row r="10" spans="4:32" x14ac:dyDescent="0.3">
      <c r="D10" s="1">
        <v>13</v>
      </c>
      <c r="E10" t="s">
        <v>30</v>
      </c>
      <c r="F10" s="2">
        <v>684.25</v>
      </c>
      <c r="G10" s="2">
        <v>27379.51</v>
      </c>
      <c r="H10" s="2">
        <v>221.42</v>
      </c>
      <c r="I10" s="2">
        <v>9.61</v>
      </c>
      <c r="J10" s="2">
        <v>72.59</v>
      </c>
      <c r="K10" s="2">
        <v>62.03</v>
      </c>
      <c r="L10" s="2">
        <v>2.73</v>
      </c>
      <c r="M10" s="2">
        <v>12.81</v>
      </c>
      <c r="N10" s="2">
        <v>9.02</v>
      </c>
      <c r="O10" s="2">
        <v>29856.51</v>
      </c>
      <c r="P10" s="2">
        <v>36.64</v>
      </c>
      <c r="Q10" s="8">
        <v>814.86108078602615</v>
      </c>
      <c r="R10" s="9">
        <v>0.26847915415835594</v>
      </c>
      <c r="S10" s="2">
        <v>1.2</v>
      </c>
      <c r="T10" s="2">
        <v>0.83</v>
      </c>
      <c r="U10" s="2">
        <v>7.06</v>
      </c>
      <c r="V10" s="2">
        <v>3035.1</v>
      </c>
      <c r="W10" s="2">
        <v>21.49</v>
      </c>
      <c r="X10" s="2">
        <v>13.41</v>
      </c>
      <c r="Y10" s="2">
        <v>19.02</v>
      </c>
      <c r="Z10" s="2"/>
      <c r="AA10" s="2">
        <v>21.74</v>
      </c>
      <c r="AB10" s="2">
        <v>13.62</v>
      </c>
      <c r="AC10" s="2">
        <v>15.14</v>
      </c>
      <c r="AD10" s="2">
        <v>0.64</v>
      </c>
      <c r="AE10" s="2">
        <v>11.05</v>
      </c>
      <c r="AF10" s="2">
        <v>47.55</v>
      </c>
    </row>
    <row r="11" spans="4:32" x14ac:dyDescent="0.3">
      <c r="D11" s="3">
        <v>10</v>
      </c>
      <c r="E11" t="s">
        <v>27</v>
      </c>
      <c r="F11" s="4">
        <v>505.75</v>
      </c>
      <c r="G11" s="4">
        <v>4873.12</v>
      </c>
      <c r="H11" s="4">
        <v>596.66</v>
      </c>
      <c r="I11" s="4">
        <v>13.55</v>
      </c>
      <c r="J11" s="4">
        <v>37.33</v>
      </c>
      <c r="K11" s="4">
        <v>62.03</v>
      </c>
      <c r="L11" s="4">
        <v>0.24</v>
      </c>
      <c r="M11" s="4">
        <v>3.04</v>
      </c>
      <c r="N11" s="4">
        <v>5.53</v>
      </c>
      <c r="O11" s="4">
        <v>4444.13</v>
      </c>
      <c r="P11" s="4">
        <v>18.8</v>
      </c>
      <c r="Q11" s="8">
        <v>236.38989361702127</v>
      </c>
      <c r="R11" s="9">
        <v>0.26847538713332492</v>
      </c>
      <c r="S11" s="4">
        <v>0.01</v>
      </c>
      <c r="T11" s="4">
        <v>10.119999999999999</v>
      </c>
      <c r="U11" s="4">
        <v>23.87</v>
      </c>
      <c r="V11" s="4">
        <v>880.49</v>
      </c>
      <c r="W11" s="4">
        <v>38.74</v>
      </c>
      <c r="X11" s="4">
        <v>14.83</v>
      </c>
      <c r="Y11" s="4">
        <v>10.53</v>
      </c>
      <c r="Z11" s="4"/>
      <c r="AA11" s="4">
        <v>17.97</v>
      </c>
      <c r="AB11" s="4">
        <v>9.86</v>
      </c>
      <c r="AC11" s="4">
        <v>13.75</v>
      </c>
      <c r="AD11" s="4">
        <v>0.64</v>
      </c>
      <c r="AE11" s="4">
        <v>12.28</v>
      </c>
      <c r="AF11" s="4">
        <v>124.99</v>
      </c>
    </row>
    <row r="12" spans="4:32" x14ac:dyDescent="0.3">
      <c r="D12" s="3">
        <v>8</v>
      </c>
      <c r="E12" t="s">
        <v>25</v>
      </c>
      <c r="F12" s="4">
        <v>1188.2</v>
      </c>
      <c r="G12" s="4">
        <v>31913.55</v>
      </c>
      <c r="H12" s="4">
        <v>370.19</v>
      </c>
      <c r="I12" s="4">
        <v>17.920000000000002</v>
      </c>
      <c r="J12" s="4">
        <v>61.56</v>
      </c>
      <c r="K12" s="4">
        <v>62.03</v>
      </c>
      <c r="L12" s="4">
        <v>0.88</v>
      </c>
      <c r="M12" s="4">
        <v>9.42</v>
      </c>
      <c r="N12" s="4">
        <v>8.64</v>
      </c>
      <c r="O12" s="4">
        <v>31508.95</v>
      </c>
      <c r="P12" s="4">
        <v>32.950000000000003</v>
      </c>
      <c r="Q12" s="8">
        <v>956.26555386949917</v>
      </c>
      <c r="R12" s="9">
        <v>0.25898772421390864</v>
      </c>
      <c r="S12" s="4">
        <v>0.21</v>
      </c>
      <c r="T12" s="4">
        <v>2.48</v>
      </c>
      <c r="U12" s="4">
        <v>11.68</v>
      </c>
      <c r="V12" s="4">
        <v>3692.32</v>
      </c>
      <c r="W12" s="4">
        <v>12.74</v>
      </c>
      <c r="X12" s="4">
        <v>14.04</v>
      </c>
      <c r="Y12" s="4">
        <v>16.48</v>
      </c>
      <c r="Z12" s="4"/>
      <c r="AA12" s="4">
        <v>14.47</v>
      </c>
      <c r="AB12" s="4">
        <v>16.07</v>
      </c>
      <c r="AC12" s="4">
        <v>19.52</v>
      </c>
      <c r="AD12" s="4">
        <v>0.81</v>
      </c>
      <c r="AE12" s="4">
        <v>13.13</v>
      </c>
      <c r="AF12" s="4">
        <v>28.85</v>
      </c>
    </row>
    <row r="13" spans="4:32" x14ac:dyDescent="0.3">
      <c r="D13" s="1">
        <v>24</v>
      </c>
      <c r="E13" t="s">
        <v>41</v>
      </c>
      <c r="F13" s="2">
        <v>68.510000000000005</v>
      </c>
      <c r="G13" s="2">
        <v>1117.4000000000001</v>
      </c>
      <c r="H13" s="2">
        <v>29.68</v>
      </c>
      <c r="I13" s="2">
        <v>1.31</v>
      </c>
      <c r="J13" s="2">
        <v>52.14</v>
      </c>
      <c r="K13" s="2">
        <v>62.03</v>
      </c>
      <c r="L13" s="2">
        <v>4.08</v>
      </c>
      <c r="M13" s="2">
        <v>6.8</v>
      </c>
      <c r="N13" s="2">
        <v>4.82</v>
      </c>
      <c r="O13" s="2">
        <v>1197.51</v>
      </c>
      <c r="P13" s="2">
        <v>19.97</v>
      </c>
      <c r="Q13" s="8">
        <v>59.965448172258391</v>
      </c>
      <c r="R13" s="9">
        <v>0.25891817000111567</v>
      </c>
      <c r="S13" s="2">
        <v>0.54</v>
      </c>
      <c r="T13" s="2">
        <v>0.88</v>
      </c>
      <c r="U13" s="2">
        <v>4.3600000000000003</v>
      </c>
      <c r="V13" s="2">
        <v>231.6</v>
      </c>
      <c r="W13" s="2">
        <v>30.71</v>
      </c>
      <c r="X13" s="2">
        <v>9.25</v>
      </c>
      <c r="Y13" s="2">
        <v>13.92</v>
      </c>
      <c r="Z13" s="2">
        <v>23.11</v>
      </c>
      <c r="AA13" s="2">
        <v>22.36</v>
      </c>
      <c r="AB13" s="2">
        <v>10.93</v>
      </c>
      <c r="AC13" s="2">
        <v>17.13</v>
      </c>
      <c r="AD13" s="2">
        <v>0.84</v>
      </c>
      <c r="AE13" s="2">
        <v>12.13</v>
      </c>
      <c r="AF13" s="2">
        <v>9.42</v>
      </c>
    </row>
    <row r="14" spans="4:32" x14ac:dyDescent="0.3">
      <c r="D14" s="3">
        <v>6</v>
      </c>
      <c r="E14" t="s">
        <v>23</v>
      </c>
      <c r="F14" s="4">
        <v>1464.8</v>
      </c>
      <c r="G14" s="4">
        <v>9604.11</v>
      </c>
      <c r="H14" s="4">
        <v>622.34</v>
      </c>
      <c r="I14" s="4">
        <v>29.47</v>
      </c>
      <c r="J14" s="4">
        <v>49.71</v>
      </c>
      <c r="K14" s="4">
        <v>62.03</v>
      </c>
      <c r="L14" s="4">
        <v>1.1200000000000001</v>
      </c>
      <c r="M14" s="4">
        <v>7.08</v>
      </c>
      <c r="N14" s="4">
        <v>7.61</v>
      </c>
      <c r="O14" s="4">
        <v>9508.59</v>
      </c>
      <c r="P14" s="4">
        <v>29.24</v>
      </c>
      <c r="Q14" s="8">
        <v>325.19117647058823</v>
      </c>
      <c r="R14" s="9">
        <v>0.25777113588093081</v>
      </c>
      <c r="S14" s="4">
        <v>0.28999999999999998</v>
      </c>
      <c r="T14" s="4">
        <v>4.51</v>
      </c>
      <c r="U14" s="4">
        <v>25.43</v>
      </c>
      <c r="V14" s="4">
        <v>1261.55</v>
      </c>
      <c r="W14" s="4">
        <v>17.96</v>
      </c>
      <c r="X14" s="4">
        <v>15.34</v>
      </c>
      <c r="Y14" s="4">
        <v>15.3</v>
      </c>
      <c r="Z14" s="4"/>
      <c r="AA14" s="4">
        <v>17.2</v>
      </c>
      <c r="AB14" s="4">
        <v>13.24</v>
      </c>
      <c r="AC14" s="4">
        <v>18.39</v>
      </c>
      <c r="AD14" s="4">
        <v>0.79</v>
      </c>
      <c r="AE14" s="4">
        <v>10.130000000000001</v>
      </c>
      <c r="AF14" s="4">
        <v>12.12</v>
      </c>
    </row>
    <row r="15" spans="4:32" x14ac:dyDescent="0.3">
      <c r="D15" s="1">
        <v>5</v>
      </c>
      <c r="E15" t="s">
        <v>22</v>
      </c>
      <c r="F15" s="2">
        <v>1743.9</v>
      </c>
      <c r="G15" s="2">
        <v>35638.480000000003</v>
      </c>
      <c r="H15" s="2">
        <v>543.28</v>
      </c>
      <c r="I15" s="2">
        <v>38.659999999999997</v>
      </c>
      <c r="J15" s="2">
        <v>44.75</v>
      </c>
      <c r="K15" s="2">
        <v>62.03</v>
      </c>
      <c r="L15" s="2">
        <v>1.02</v>
      </c>
      <c r="M15" s="2">
        <v>9.83</v>
      </c>
      <c r="N15" s="2">
        <v>6.5</v>
      </c>
      <c r="O15" s="2">
        <v>37420.11</v>
      </c>
      <c r="P15" s="2">
        <v>27.35</v>
      </c>
      <c r="Q15" s="8">
        <v>1368.1941499085922</v>
      </c>
      <c r="R15" s="9">
        <v>0.24953476939704181</v>
      </c>
      <c r="S15" s="2">
        <v>0.67</v>
      </c>
      <c r="T15" s="2">
        <v>2.14</v>
      </c>
      <c r="U15" s="2">
        <v>7.45</v>
      </c>
      <c r="V15" s="2">
        <v>5482.98</v>
      </c>
      <c r="W15" s="2">
        <v>9.26</v>
      </c>
      <c r="X15" s="2">
        <v>14.53</v>
      </c>
      <c r="Y15" s="2">
        <v>24.47</v>
      </c>
      <c r="Z15" s="2">
        <v>19.27</v>
      </c>
      <c r="AA15" s="2">
        <v>25.23</v>
      </c>
      <c r="AB15" s="2">
        <v>15.53</v>
      </c>
      <c r="AC15" s="2">
        <v>20.63</v>
      </c>
      <c r="AD15" s="2">
        <v>0.85</v>
      </c>
      <c r="AE15" s="2">
        <v>9.7100000000000009</v>
      </c>
      <c r="AF15" s="2">
        <v>36.979999999999997</v>
      </c>
    </row>
    <row r="16" spans="4:32" x14ac:dyDescent="0.3">
      <c r="D16" s="3">
        <v>14</v>
      </c>
      <c r="E16" t="s">
        <v>31</v>
      </c>
      <c r="F16" s="4">
        <v>152.09</v>
      </c>
      <c r="G16" s="4">
        <v>1247.97</v>
      </c>
      <c r="H16" s="4">
        <v>94.99</v>
      </c>
      <c r="I16" s="4">
        <v>6.08</v>
      </c>
      <c r="J16" s="4">
        <v>25</v>
      </c>
      <c r="K16" s="4">
        <v>62.03</v>
      </c>
      <c r="L16" s="4">
        <v>0.71</v>
      </c>
      <c r="M16" s="4">
        <v>5.04</v>
      </c>
      <c r="N16" s="4">
        <v>3.07</v>
      </c>
      <c r="O16" s="4">
        <v>1279</v>
      </c>
      <c r="P16" s="4">
        <v>13.92</v>
      </c>
      <c r="Q16" s="8">
        <v>91.882183908045974</v>
      </c>
      <c r="R16" s="9">
        <v>0.22570484145531941</v>
      </c>
      <c r="S16" s="4">
        <v>0.14000000000000001</v>
      </c>
      <c r="T16" s="4">
        <v>1.06</v>
      </c>
      <c r="U16" s="4">
        <v>20.99</v>
      </c>
      <c r="V16" s="4">
        <v>407.09</v>
      </c>
      <c r="W16" s="4">
        <v>1.72</v>
      </c>
      <c r="X16" s="4">
        <v>12.26</v>
      </c>
      <c r="Y16" s="4">
        <v>21.41</v>
      </c>
      <c r="Z16" s="4"/>
      <c r="AA16" s="4">
        <v>23.01</v>
      </c>
      <c r="AB16" s="4">
        <v>21.39</v>
      </c>
      <c r="AC16" s="4">
        <v>27.37</v>
      </c>
      <c r="AD16" s="4">
        <v>1.1200000000000001</v>
      </c>
      <c r="AE16" s="4">
        <v>9.2799999999999994</v>
      </c>
      <c r="AF16" s="4">
        <v>17.66</v>
      </c>
    </row>
    <row r="17" spans="4:32" x14ac:dyDescent="0.3">
      <c r="D17" s="1">
        <v>3</v>
      </c>
      <c r="E17" t="s">
        <v>20</v>
      </c>
      <c r="F17" s="2">
        <v>559.29999999999995</v>
      </c>
      <c r="G17" s="2">
        <v>27937.77</v>
      </c>
      <c r="H17" s="2">
        <v>362.86</v>
      </c>
      <c r="I17" s="2">
        <v>107.66</v>
      </c>
      <c r="J17" s="2">
        <v>70.040000000000006</v>
      </c>
      <c r="K17" s="2">
        <v>62.03</v>
      </c>
      <c r="L17" s="2">
        <v>-40.72</v>
      </c>
      <c r="M17" s="2">
        <v>8.15</v>
      </c>
      <c r="N17" s="2">
        <v>6.75</v>
      </c>
      <c r="O17" s="2">
        <v>28575.54</v>
      </c>
      <c r="P17" s="2">
        <v>31.97</v>
      </c>
      <c r="Q17" s="8">
        <v>893.82358461057242</v>
      </c>
      <c r="R17" s="9">
        <v>0.2159797568686353</v>
      </c>
      <c r="S17" s="2">
        <v>0.59</v>
      </c>
      <c r="T17" s="2">
        <v>2.16</v>
      </c>
      <c r="U17" s="2">
        <v>5.21</v>
      </c>
      <c r="V17" s="2">
        <v>4138.46</v>
      </c>
      <c r="W17" s="2">
        <v>11.88</v>
      </c>
      <c r="X17" s="2">
        <v>9.69</v>
      </c>
      <c r="Y17" s="2">
        <v>10.48</v>
      </c>
      <c r="Z17" s="2">
        <v>8.23</v>
      </c>
      <c r="AA17" s="2">
        <v>8.76</v>
      </c>
      <c r="AB17" s="2">
        <v>12.26</v>
      </c>
      <c r="AC17" s="2">
        <v>10.68</v>
      </c>
      <c r="AD17" s="2">
        <v>0.34</v>
      </c>
      <c r="AE17" s="2">
        <v>9.25</v>
      </c>
      <c r="AF17" s="2">
        <v>22.74</v>
      </c>
    </row>
    <row r="18" spans="4:32" x14ac:dyDescent="0.3">
      <c r="D18" s="3">
        <v>12</v>
      </c>
      <c r="E18" t="s">
        <v>29</v>
      </c>
      <c r="F18" s="4">
        <v>706.3</v>
      </c>
      <c r="G18" s="4">
        <v>53322.69</v>
      </c>
      <c r="H18" s="4">
        <v>143.08000000000001</v>
      </c>
      <c r="I18" s="4">
        <v>10.26</v>
      </c>
      <c r="J18" s="4">
        <v>63.26</v>
      </c>
      <c r="K18" s="4">
        <v>62.03</v>
      </c>
      <c r="L18" s="4">
        <v>0.9</v>
      </c>
      <c r="M18" s="4">
        <v>5.98</v>
      </c>
      <c r="N18" s="4">
        <v>6.85</v>
      </c>
      <c r="O18" s="4">
        <v>55289.8</v>
      </c>
      <c r="P18" s="4">
        <v>33.18</v>
      </c>
      <c r="Q18" s="8">
        <v>1666.3592525617844</v>
      </c>
      <c r="R18" s="9">
        <v>0.21410931259025209</v>
      </c>
      <c r="S18" s="4">
        <v>0.28000000000000003</v>
      </c>
      <c r="T18" s="4">
        <v>0.92</v>
      </c>
      <c r="U18" s="4">
        <v>6.95</v>
      </c>
      <c r="V18" s="4">
        <v>7782.75</v>
      </c>
      <c r="W18" s="4">
        <v>12.91</v>
      </c>
      <c r="X18" s="4">
        <v>11.32</v>
      </c>
      <c r="Y18" s="4">
        <v>10.17</v>
      </c>
      <c r="Z18" s="4">
        <v>4.08</v>
      </c>
      <c r="AA18" s="4">
        <v>6.5</v>
      </c>
      <c r="AB18" s="4">
        <v>9.85</v>
      </c>
      <c r="AC18" s="4">
        <v>11.99</v>
      </c>
      <c r="AD18" s="4">
        <v>0.57999999999999996</v>
      </c>
      <c r="AE18" s="4">
        <v>16.43</v>
      </c>
      <c r="AF18" s="4">
        <v>36.79</v>
      </c>
    </row>
    <row r="19" spans="4:32" x14ac:dyDescent="0.3">
      <c r="D19" s="1">
        <v>15</v>
      </c>
      <c r="E19" t="s">
        <v>32</v>
      </c>
      <c r="F19" s="2">
        <v>279.45</v>
      </c>
      <c r="G19" s="2">
        <v>3882.46</v>
      </c>
      <c r="H19" s="2">
        <v>117.38</v>
      </c>
      <c r="I19" s="2">
        <v>6.07</v>
      </c>
      <c r="J19" s="2">
        <v>46.52</v>
      </c>
      <c r="K19" s="2">
        <v>62.03</v>
      </c>
      <c r="L19" s="2">
        <v>1.43</v>
      </c>
      <c r="M19" s="2">
        <v>4.57</v>
      </c>
      <c r="N19" s="2">
        <v>4.25</v>
      </c>
      <c r="O19" s="2">
        <v>3769.69</v>
      </c>
      <c r="P19" s="2">
        <v>20.63</v>
      </c>
      <c r="Q19" s="8">
        <v>182.72855065438682</v>
      </c>
      <c r="R19" s="9">
        <v>0.20008382131527366</v>
      </c>
      <c r="S19" s="2">
        <v>0.33</v>
      </c>
      <c r="T19" s="2">
        <v>2.54</v>
      </c>
      <c r="U19" s="2">
        <v>4.58</v>
      </c>
      <c r="V19" s="2">
        <v>913.26</v>
      </c>
      <c r="W19" s="2">
        <v>8.0500000000000007</v>
      </c>
      <c r="X19" s="2">
        <v>9.14</v>
      </c>
      <c r="Y19" s="2">
        <v>12.91</v>
      </c>
      <c r="Z19" s="2">
        <v>10.130000000000001</v>
      </c>
      <c r="AA19" s="2">
        <v>9.93</v>
      </c>
      <c r="AB19" s="2">
        <v>9.82</v>
      </c>
      <c r="AC19" s="2">
        <v>14.87</v>
      </c>
      <c r="AD19" s="2">
        <v>0.8</v>
      </c>
      <c r="AE19" s="2">
        <v>0</v>
      </c>
      <c r="AF19" s="2">
        <v>37.11</v>
      </c>
    </row>
    <row r="20" spans="4:32" x14ac:dyDescent="0.3">
      <c r="D20" s="1">
        <v>9</v>
      </c>
      <c r="E20" t="s">
        <v>26</v>
      </c>
      <c r="F20" s="2">
        <v>441.1</v>
      </c>
      <c r="G20" s="2">
        <v>4043.7</v>
      </c>
      <c r="H20" s="2">
        <v>286.26</v>
      </c>
      <c r="I20" s="2">
        <v>17.559999999999999</v>
      </c>
      <c r="J20" s="2">
        <v>25.12</v>
      </c>
      <c r="K20" s="2">
        <v>62.03</v>
      </c>
      <c r="L20" s="2">
        <v>0.86</v>
      </c>
      <c r="M20" s="2">
        <v>6.78</v>
      </c>
      <c r="N20" s="2">
        <v>2.98</v>
      </c>
      <c r="O20" s="2">
        <v>3754.71</v>
      </c>
      <c r="P20" s="2">
        <v>14.07</v>
      </c>
      <c r="Q20" s="8">
        <v>266.85927505330488</v>
      </c>
      <c r="R20" s="9">
        <v>0.19674664178632878</v>
      </c>
      <c r="S20" s="2">
        <v>0.05</v>
      </c>
      <c r="T20" s="2">
        <v>2.41</v>
      </c>
      <c r="U20" s="2">
        <v>35.5</v>
      </c>
      <c r="V20" s="2">
        <v>1356.36</v>
      </c>
      <c r="W20" s="2">
        <v>8.9700000000000006</v>
      </c>
      <c r="X20" s="2">
        <v>11.87</v>
      </c>
      <c r="Y20" s="2">
        <v>29.97</v>
      </c>
      <c r="Z20" s="2">
        <v>19.190000000000001</v>
      </c>
      <c r="AA20" s="2">
        <v>23.22</v>
      </c>
      <c r="AB20" s="2">
        <v>28.43</v>
      </c>
      <c r="AC20" s="2">
        <v>39.01</v>
      </c>
      <c r="AD20" s="2">
        <v>1.72</v>
      </c>
      <c r="AE20" s="2">
        <v>31.74</v>
      </c>
      <c r="AF20" s="2">
        <v>20.3</v>
      </c>
    </row>
    <row r="21" spans="4:32" x14ac:dyDescent="0.3">
      <c r="D21" s="3">
        <v>17</v>
      </c>
      <c r="E21" t="s">
        <v>34</v>
      </c>
      <c r="F21" s="4">
        <v>542.4</v>
      </c>
      <c r="G21" s="4">
        <v>7561.89</v>
      </c>
      <c r="H21" s="4">
        <v>72.25</v>
      </c>
      <c r="I21" s="4">
        <v>3.19</v>
      </c>
      <c r="J21" s="4">
        <v>170.27</v>
      </c>
      <c r="K21" s="4">
        <v>62.03</v>
      </c>
      <c r="L21" s="4">
        <v>8.83</v>
      </c>
      <c r="M21" s="4">
        <v>8.1999999999999993</v>
      </c>
      <c r="N21" s="4">
        <v>3.4</v>
      </c>
      <c r="O21" s="4">
        <v>9051.41</v>
      </c>
      <c r="P21" s="4">
        <v>21.41</v>
      </c>
      <c r="Q21" s="8">
        <v>422.7655301261093</v>
      </c>
      <c r="R21" s="9">
        <v>0.19019075966714322</v>
      </c>
      <c r="S21" s="4">
        <v>1.99</v>
      </c>
      <c r="T21" s="4">
        <v>0.81</v>
      </c>
      <c r="U21" s="4">
        <v>1.37</v>
      </c>
      <c r="V21" s="4">
        <v>2222.85</v>
      </c>
      <c r="W21" s="4">
        <v>16.510000000000002</v>
      </c>
      <c r="X21" s="4">
        <v>2.2000000000000002</v>
      </c>
      <c r="Y21" s="4">
        <v>5.08</v>
      </c>
      <c r="Z21" s="4">
        <v>-1.83</v>
      </c>
      <c r="AA21" s="4">
        <v>-0.43</v>
      </c>
      <c r="AB21" s="4">
        <v>6.72</v>
      </c>
      <c r="AC21" s="4">
        <v>8.52</v>
      </c>
      <c r="AD21" s="4">
        <v>0.71</v>
      </c>
      <c r="AE21" s="4">
        <v>12.14</v>
      </c>
      <c r="AF21" s="4">
        <v>65.83</v>
      </c>
    </row>
    <row r="22" spans="4:32" x14ac:dyDescent="0.3">
      <c r="D22" s="3">
        <v>4</v>
      </c>
      <c r="E22" t="s">
        <v>21</v>
      </c>
      <c r="F22" s="4">
        <v>6880.5</v>
      </c>
      <c r="G22" s="4">
        <v>98931.03</v>
      </c>
      <c r="H22" s="4">
        <v>1487.6</v>
      </c>
      <c r="I22" s="4">
        <v>100.56</v>
      </c>
      <c r="J22" s="4">
        <v>68.42</v>
      </c>
      <c r="K22" s="4">
        <v>62.03</v>
      </c>
      <c r="L22" s="4">
        <v>1.87</v>
      </c>
      <c r="M22" s="4">
        <v>12.05</v>
      </c>
      <c r="N22" s="4">
        <v>4.54</v>
      </c>
      <c r="O22" s="4">
        <v>105435.13</v>
      </c>
      <c r="P22" s="4">
        <v>32.39</v>
      </c>
      <c r="Q22" s="8">
        <v>3255.1753627662861</v>
      </c>
      <c r="R22" s="9">
        <v>0.1493610793230378</v>
      </c>
      <c r="S22" s="4">
        <v>0.96</v>
      </c>
      <c r="T22" s="4">
        <v>1.54</v>
      </c>
      <c r="U22" s="4">
        <v>5.45</v>
      </c>
      <c r="V22" s="4">
        <v>21794</v>
      </c>
      <c r="W22" s="4">
        <v>14.35</v>
      </c>
      <c r="X22" s="4">
        <v>6.91</v>
      </c>
      <c r="Y22" s="4">
        <v>19.09</v>
      </c>
      <c r="Z22" s="4">
        <v>10.96</v>
      </c>
      <c r="AA22" s="4">
        <v>13.99</v>
      </c>
      <c r="AB22" s="4">
        <v>12.61</v>
      </c>
      <c r="AC22" s="4">
        <v>17.12</v>
      </c>
      <c r="AD22" s="4">
        <v>1.17</v>
      </c>
      <c r="AE22" s="4">
        <v>24.05</v>
      </c>
      <c r="AF22" s="4">
        <v>50.51</v>
      </c>
    </row>
    <row r="23" spans="4:32" x14ac:dyDescent="0.3">
      <c r="D23" s="1">
        <v>26</v>
      </c>
      <c r="E23" t="s">
        <v>43</v>
      </c>
      <c r="F23" s="2">
        <v>187.5</v>
      </c>
      <c r="G23" s="2">
        <v>2025.18</v>
      </c>
      <c r="H23" s="2">
        <v>37.57</v>
      </c>
      <c r="I23" s="2">
        <v>0.57999999999999996</v>
      </c>
      <c r="J23" s="2">
        <v>1054.78</v>
      </c>
      <c r="K23" s="2">
        <v>62.03</v>
      </c>
      <c r="L23" s="2">
        <v>-25.64</v>
      </c>
      <c r="M23" s="2">
        <v>2.04</v>
      </c>
      <c r="N23" s="2">
        <v>1.86</v>
      </c>
      <c r="O23" s="2">
        <v>2466.25</v>
      </c>
      <c r="P23" s="2">
        <v>15.39</v>
      </c>
      <c r="Q23" s="8">
        <v>160.25016244314489</v>
      </c>
      <c r="R23" s="9">
        <v>0.14742967767272475</v>
      </c>
      <c r="S23" s="2">
        <v>0.48</v>
      </c>
      <c r="T23" s="2">
        <v>1.45</v>
      </c>
      <c r="U23" s="2">
        <v>2.44</v>
      </c>
      <c r="V23" s="2">
        <v>1086.96</v>
      </c>
      <c r="W23" s="2">
        <v>16.41</v>
      </c>
      <c r="X23" s="2">
        <v>0.18</v>
      </c>
      <c r="Y23" s="2">
        <v>0.19</v>
      </c>
      <c r="Z23" s="2">
        <v>5.84</v>
      </c>
      <c r="AA23" s="2">
        <v>5.43</v>
      </c>
      <c r="AB23" s="2">
        <v>0.22</v>
      </c>
      <c r="AC23" s="2">
        <v>6.61</v>
      </c>
      <c r="AD23" s="2">
        <v>0.66</v>
      </c>
      <c r="AE23" s="2">
        <v>0.41</v>
      </c>
      <c r="AF23" s="2">
        <v>58.84</v>
      </c>
    </row>
    <row r="25" spans="4:32" x14ac:dyDescent="0.3">
      <c r="E25" t="s">
        <v>64</v>
      </c>
      <c r="F25" s="10">
        <f>AVERAGE(F5:F23)</f>
        <v>1515.5894736842108</v>
      </c>
      <c r="G25" s="10">
        <f t="shared" ref="G25:AF25" si="0">AVERAGE(G5:G23)</f>
        <v>23821.829473684214</v>
      </c>
      <c r="H25" s="10">
        <f t="shared" si="0"/>
        <v>563.18789473684205</v>
      </c>
      <c r="I25" s="10">
        <f t="shared" si="0"/>
        <v>37.231578947368433</v>
      </c>
      <c r="J25" s="10">
        <f t="shared" si="0"/>
        <v>115.38000000000001</v>
      </c>
      <c r="K25" s="10">
        <f t="shared" si="0"/>
        <v>62.029999999999987</v>
      </c>
      <c r="L25" s="10">
        <f t="shared" si="0"/>
        <v>-1.713157894736842</v>
      </c>
      <c r="M25" s="10">
        <f t="shared" si="0"/>
        <v>7.6236842105263154</v>
      </c>
      <c r="N25" s="10">
        <f t="shared" si="0"/>
        <v>6.1631578947368419</v>
      </c>
      <c r="O25" s="10">
        <f t="shared" si="0"/>
        <v>24785.795263157896</v>
      </c>
      <c r="P25" s="10">
        <f t="shared" si="0"/>
        <v>25.794210526315787</v>
      </c>
      <c r="Q25" s="10">
        <f t="shared" si="0"/>
        <v>751.57890209572383</v>
      </c>
      <c r="R25" s="10">
        <f t="shared" si="0"/>
        <v>0.24453224167574822</v>
      </c>
      <c r="S25" s="10">
        <f t="shared" si="0"/>
        <v>0.58210526315789468</v>
      </c>
      <c r="T25" s="10">
        <f t="shared" si="0"/>
        <v>2.3005263157894738</v>
      </c>
      <c r="U25" s="10">
        <f t="shared" si="0"/>
        <v>10.321578947368421</v>
      </c>
      <c r="V25" s="10">
        <f t="shared" si="0"/>
        <v>3489.9668421052629</v>
      </c>
      <c r="W25" s="10">
        <f t="shared" si="0"/>
        <v>17.570526315789483</v>
      </c>
      <c r="X25" s="10">
        <f t="shared" si="0"/>
        <v>11.19736842105263</v>
      </c>
      <c r="Y25" s="10">
        <f t="shared" si="0"/>
        <v>15.571578947368419</v>
      </c>
      <c r="Z25" s="10">
        <f t="shared" si="0"/>
        <v>13.831666666666665</v>
      </c>
      <c r="AA25" s="10">
        <f t="shared" si="0"/>
        <v>15.668947368421051</v>
      </c>
      <c r="AB25" s="10">
        <f t="shared" si="0"/>
        <v>12.922105263157896</v>
      </c>
      <c r="AC25" s="10">
        <f t="shared" si="0"/>
        <v>17.117368421052632</v>
      </c>
      <c r="AD25" s="10">
        <f t="shared" si="0"/>
        <v>0.78736842105263172</v>
      </c>
      <c r="AE25" s="10">
        <f t="shared" si="0"/>
        <v>11.845789473684212</v>
      </c>
      <c r="AF25" s="10">
        <f t="shared" si="0"/>
        <v>35.336842105263166</v>
      </c>
    </row>
    <row r="26" spans="4:32" x14ac:dyDescent="0.3">
      <c r="E26" t="s">
        <v>65</v>
      </c>
      <c r="F26" s="10">
        <f>MEDIAN(F5:F23)</f>
        <v>684.25</v>
      </c>
      <c r="G26" s="10">
        <f t="shared" ref="G26:AF26" si="1">MEDIAN(G5:G23)</f>
        <v>9604.11</v>
      </c>
      <c r="H26" s="10">
        <f t="shared" si="1"/>
        <v>286.26</v>
      </c>
      <c r="I26" s="10">
        <f t="shared" si="1"/>
        <v>13.55</v>
      </c>
      <c r="J26" s="10">
        <f t="shared" si="1"/>
        <v>58.51</v>
      </c>
      <c r="K26" s="10">
        <f t="shared" si="1"/>
        <v>62.03</v>
      </c>
      <c r="L26" s="10">
        <f t="shared" si="1"/>
        <v>1.1599999999999999</v>
      </c>
      <c r="M26" s="10">
        <f t="shared" si="1"/>
        <v>7.08</v>
      </c>
      <c r="N26" s="10">
        <f t="shared" si="1"/>
        <v>5.53</v>
      </c>
      <c r="O26" s="10">
        <f t="shared" si="1"/>
        <v>9508.59</v>
      </c>
      <c r="P26" s="10">
        <f t="shared" si="1"/>
        <v>22.7</v>
      </c>
      <c r="Q26" s="10">
        <f t="shared" si="1"/>
        <v>422.7655301261093</v>
      </c>
      <c r="R26" s="10">
        <f t="shared" si="1"/>
        <v>0.25777113588093081</v>
      </c>
      <c r="S26" s="10">
        <f t="shared" si="1"/>
        <v>0.48</v>
      </c>
      <c r="T26" s="10">
        <f t="shared" si="1"/>
        <v>1.54</v>
      </c>
      <c r="U26" s="10">
        <f t="shared" si="1"/>
        <v>6.95</v>
      </c>
      <c r="V26" s="10">
        <f t="shared" si="1"/>
        <v>1515.87</v>
      </c>
      <c r="W26" s="10">
        <f t="shared" si="1"/>
        <v>16.41</v>
      </c>
      <c r="X26" s="10">
        <f t="shared" si="1"/>
        <v>12.26</v>
      </c>
      <c r="Y26" s="10">
        <f t="shared" si="1"/>
        <v>15.3</v>
      </c>
      <c r="Z26" s="10">
        <f t="shared" si="1"/>
        <v>14.215</v>
      </c>
      <c r="AA26" s="10">
        <f t="shared" si="1"/>
        <v>17.2</v>
      </c>
      <c r="AB26" s="10">
        <f t="shared" si="1"/>
        <v>12.61</v>
      </c>
      <c r="AC26" s="10">
        <f t="shared" si="1"/>
        <v>17.12</v>
      </c>
      <c r="AD26" s="10">
        <f t="shared" si="1"/>
        <v>0.72</v>
      </c>
      <c r="AE26" s="10">
        <f t="shared" si="1"/>
        <v>11.05</v>
      </c>
      <c r="AF26" s="10">
        <f t="shared" si="1"/>
        <v>28.85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19B7-E91F-4B78-A37D-B2C919BA20CA}">
  <sheetPr filterMode="1"/>
  <dimension ref="A1:AT33"/>
  <sheetViews>
    <sheetView tabSelected="1" topLeftCell="A19" zoomScale="142" workbookViewId="0">
      <selection activeCell="F31" sqref="F31"/>
    </sheetView>
  </sheetViews>
  <sheetFormatPr defaultRowHeight="14.4" x14ac:dyDescent="0.3"/>
  <cols>
    <col min="3" max="3" width="7.6640625" bestFit="1" customWidth="1"/>
    <col min="4" max="4" width="16.21875" bestFit="1" customWidth="1"/>
    <col min="5" max="5" width="9.88671875" bestFit="1" customWidth="1"/>
    <col min="6" max="6" width="15.44140625" bestFit="1" customWidth="1"/>
    <col min="7" max="7" width="8.21875" bestFit="1" customWidth="1"/>
    <col min="8" max="8" width="13.5546875" bestFit="1" customWidth="1"/>
    <col min="9" max="10" width="8.21875" bestFit="1" customWidth="1"/>
    <col min="11" max="11" width="6.6640625" bestFit="1" customWidth="1"/>
    <col min="12" max="12" width="10.88671875" bestFit="1" customWidth="1"/>
    <col min="13" max="13" width="12.77734375" bestFit="1" customWidth="1"/>
    <col min="14" max="14" width="10.5546875" bestFit="1" customWidth="1"/>
    <col min="15" max="15" width="13" bestFit="1" customWidth="1"/>
    <col min="16" max="16" width="9.21875" bestFit="1" customWidth="1"/>
    <col min="17" max="17" width="16.77734375" bestFit="1" customWidth="1"/>
    <col min="18" max="18" width="10.77734375" bestFit="1" customWidth="1"/>
    <col min="19" max="19" width="13.6640625" bestFit="1" customWidth="1"/>
    <col min="20" max="20" width="13.5546875" bestFit="1" customWidth="1"/>
    <col min="21" max="21" width="12.5546875" bestFit="1" customWidth="1"/>
    <col min="22" max="22" width="15.5546875" bestFit="1" customWidth="1"/>
    <col min="23" max="23" width="12.6640625" bestFit="1" customWidth="1"/>
    <col min="24" max="24" width="8.5546875" bestFit="1" customWidth="1"/>
    <col min="25" max="25" width="12.6640625" bestFit="1" customWidth="1"/>
    <col min="26" max="26" width="11.6640625" bestFit="1" customWidth="1"/>
    <col min="27" max="27" width="9.21875" bestFit="1" customWidth="1"/>
    <col min="28" max="28" width="9.6640625" bestFit="1" customWidth="1"/>
    <col min="29" max="29" width="15.44140625" bestFit="1" customWidth="1"/>
    <col min="30" max="30" width="10.44140625" bestFit="1" customWidth="1"/>
    <col min="31" max="31" width="16.44140625" bestFit="1" customWidth="1"/>
  </cols>
  <sheetData>
    <row r="1" spans="1:46" x14ac:dyDescent="0.3">
      <c r="B1" s="13" t="s">
        <v>66</v>
      </c>
    </row>
    <row r="3" spans="1:46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57</v>
      </c>
      <c r="Q3" t="s">
        <v>58</v>
      </c>
      <c r="R3" t="s">
        <v>13</v>
      </c>
      <c r="S3" t="s">
        <v>62</v>
      </c>
      <c r="T3" t="s">
        <v>63</v>
      </c>
      <c r="U3" t="s">
        <v>15</v>
      </c>
      <c r="V3" t="s">
        <v>16</v>
      </c>
      <c r="W3" t="s">
        <v>17</v>
      </c>
      <c r="X3" t="s">
        <v>53</v>
      </c>
      <c r="Y3" t="s">
        <v>54</v>
      </c>
      <c r="Z3" t="s">
        <v>55</v>
      </c>
      <c r="AA3" t="s">
        <v>56</v>
      </c>
      <c r="AB3" t="s">
        <v>14</v>
      </c>
      <c r="AC3" t="s">
        <v>59</v>
      </c>
      <c r="AD3" t="s">
        <v>60</v>
      </c>
      <c r="AE3" t="s">
        <v>61</v>
      </c>
      <c r="AH3">
        <v>2014</v>
      </c>
      <c r="AI3">
        <v>2015</v>
      </c>
      <c r="AJ3">
        <v>2016</v>
      </c>
      <c r="AK3">
        <v>2017</v>
      </c>
      <c r="AL3">
        <v>2018</v>
      </c>
      <c r="AM3">
        <v>2019</v>
      </c>
      <c r="AN3">
        <v>2020</v>
      </c>
      <c r="AO3">
        <v>2021</v>
      </c>
      <c r="AP3">
        <v>2022</v>
      </c>
      <c r="AQ3">
        <v>2023</v>
      </c>
      <c r="AR3">
        <v>2024</v>
      </c>
      <c r="AS3">
        <v>2025</v>
      </c>
    </row>
    <row r="4" spans="1:46" x14ac:dyDescent="0.3">
      <c r="A4" s="13">
        <v>30.68</v>
      </c>
      <c r="C4" s="1">
        <v>7</v>
      </c>
      <c r="D4" s="14" t="s">
        <v>24</v>
      </c>
      <c r="E4" s="2">
        <v>1402.5</v>
      </c>
      <c r="F4" s="2">
        <v>14242.62</v>
      </c>
      <c r="G4" s="2">
        <v>457.7</v>
      </c>
      <c r="H4" s="2">
        <v>23.97</v>
      </c>
      <c r="I4" s="2">
        <v>58.51</v>
      </c>
      <c r="J4" s="2">
        <v>62.03</v>
      </c>
      <c r="K4" s="2">
        <v>1.7</v>
      </c>
      <c r="L4" s="2">
        <v>9.6999999999999993</v>
      </c>
      <c r="M4" s="2">
        <v>9.4</v>
      </c>
      <c r="N4" s="2">
        <v>14985.92</v>
      </c>
      <c r="O4" s="2">
        <v>27.71</v>
      </c>
      <c r="P4" s="8">
        <v>540.81270299530854</v>
      </c>
      <c r="Q4" s="9">
        <v>0.35676720496830799</v>
      </c>
      <c r="R4" s="2">
        <v>0.52</v>
      </c>
      <c r="S4" s="2">
        <v>5.46</v>
      </c>
      <c r="T4" s="2">
        <v>5.55</v>
      </c>
      <c r="U4" s="2">
        <v>1515.87</v>
      </c>
      <c r="V4" s="2">
        <v>16.88</v>
      </c>
      <c r="W4" s="2">
        <v>16.11</v>
      </c>
      <c r="X4" s="2">
        <v>17.850000000000001</v>
      </c>
      <c r="Y4" s="2">
        <v>17.47</v>
      </c>
      <c r="Z4" s="2">
        <v>19.7</v>
      </c>
      <c r="AA4" s="2">
        <v>14.24</v>
      </c>
      <c r="AB4" s="2">
        <v>18.86</v>
      </c>
      <c r="AC4" s="2">
        <v>0.67</v>
      </c>
      <c r="AD4" s="2">
        <v>7.56</v>
      </c>
      <c r="AE4" s="2">
        <v>18.61</v>
      </c>
      <c r="AH4" s="15">
        <v>1</v>
      </c>
      <c r="AI4" s="15">
        <v>0.97560000000000002</v>
      </c>
      <c r="AJ4" s="15">
        <v>0.86670000000000003</v>
      </c>
      <c r="AK4" s="15">
        <v>0.8</v>
      </c>
      <c r="AL4" s="15">
        <v>0.8841</v>
      </c>
      <c r="AM4" s="15">
        <v>0.94040000000000001</v>
      </c>
      <c r="AN4" s="15">
        <v>0.94530000000000003</v>
      </c>
      <c r="AO4" s="15">
        <v>1.0242</v>
      </c>
      <c r="AP4" s="15">
        <v>0.93179999999999996</v>
      </c>
      <c r="AQ4" s="15">
        <v>1.0249999999999999</v>
      </c>
      <c r="AR4" s="15">
        <v>0.94910000000000005</v>
      </c>
      <c r="AS4" s="15">
        <v>0.98370000000000002</v>
      </c>
      <c r="AT4" s="16">
        <f>AVERAGE(AH4:AS4)</f>
        <v>0.94382500000000025</v>
      </c>
    </row>
    <row r="5" spans="1:46" hidden="1" x14ac:dyDescent="0.3">
      <c r="C5" s="3">
        <v>2</v>
      </c>
      <c r="D5" t="s">
        <v>19</v>
      </c>
      <c r="E5" s="4">
        <v>4343</v>
      </c>
      <c r="F5" s="4">
        <v>2041.21</v>
      </c>
      <c r="G5" s="4">
        <v>2006.86</v>
      </c>
      <c r="H5" s="4">
        <v>116.28</v>
      </c>
      <c r="I5" s="4">
        <v>37.35</v>
      </c>
      <c r="J5" s="4">
        <v>62.03</v>
      </c>
      <c r="K5" s="4">
        <v>1.1599999999999999</v>
      </c>
      <c r="L5" s="4">
        <v>9.74</v>
      </c>
      <c r="M5" s="4">
        <v>5.14</v>
      </c>
      <c r="N5" s="4">
        <v>2362.1999999999998</v>
      </c>
      <c r="O5" s="4">
        <v>19.11</v>
      </c>
      <c r="P5" s="8">
        <v>123.61067503924646</v>
      </c>
      <c r="Q5" s="9">
        <v>0.31124430325883534</v>
      </c>
      <c r="R5" s="4">
        <v>1.59</v>
      </c>
      <c r="S5" s="4">
        <v>0.64</v>
      </c>
      <c r="T5" s="4">
        <v>6.26</v>
      </c>
      <c r="U5" s="4">
        <v>397.15</v>
      </c>
      <c r="V5" s="4">
        <v>24.38</v>
      </c>
      <c r="W5" s="4">
        <v>13.76</v>
      </c>
      <c r="X5" s="4">
        <v>29.8</v>
      </c>
      <c r="Y5" s="4">
        <v>28.71</v>
      </c>
      <c r="Z5" s="4">
        <v>29.95</v>
      </c>
      <c r="AA5" s="4">
        <v>16.690000000000001</v>
      </c>
      <c r="AB5" s="4">
        <v>17.39</v>
      </c>
      <c r="AC5" s="4">
        <v>0.72</v>
      </c>
      <c r="AD5" s="4">
        <v>3.62</v>
      </c>
      <c r="AE5" s="4">
        <v>12.84</v>
      </c>
    </row>
    <row r="6" spans="1:46" x14ac:dyDescent="0.3">
      <c r="A6" s="13">
        <v>24.4</v>
      </c>
      <c r="C6" s="1">
        <v>1</v>
      </c>
      <c r="D6" s="14" t="s">
        <v>18</v>
      </c>
      <c r="E6" s="2">
        <v>6182.95</v>
      </c>
      <c r="F6" s="2">
        <v>6764.15</v>
      </c>
      <c r="G6" s="2">
        <v>2874.25</v>
      </c>
      <c r="H6" s="2">
        <v>190.96</v>
      </c>
      <c r="I6" s="2">
        <v>32.369999999999997</v>
      </c>
      <c r="J6" s="2">
        <v>62.03</v>
      </c>
      <c r="K6" s="2">
        <v>1.89</v>
      </c>
      <c r="L6" s="2">
        <v>6.23</v>
      </c>
      <c r="M6" s="2">
        <v>4.93</v>
      </c>
      <c r="N6" s="2">
        <v>6905.56</v>
      </c>
      <c r="O6" s="2">
        <v>16.93</v>
      </c>
      <c r="P6" s="8">
        <v>407.88895451860606</v>
      </c>
      <c r="Q6" s="9">
        <v>0.2974859636783112</v>
      </c>
      <c r="R6" s="2">
        <v>0.38</v>
      </c>
      <c r="S6" s="2">
        <v>1.22</v>
      </c>
      <c r="T6" s="2">
        <v>9.49</v>
      </c>
      <c r="U6" s="2">
        <v>1371.12</v>
      </c>
      <c r="V6" s="2">
        <v>12.43</v>
      </c>
      <c r="W6" s="2">
        <v>15.24</v>
      </c>
      <c r="X6" s="2">
        <v>21.16</v>
      </c>
      <c r="Y6" s="2">
        <v>20.82</v>
      </c>
      <c r="Z6" s="2">
        <v>19.760000000000002</v>
      </c>
      <c r="AA6" s="2">
        <v>16.87</v>
      </c>
      <c r="AB6" s="2">
        <v>22.98</v>
      </c>
      <c r="AC6" s="2">
        <v>0.85</v>
      </c>
      <c r="AD6" s="2">
        <v>23.83</v>
      </c>
      <c r="AE6" s="2">
        <v>8.2100000000000009</v>
      </c>
      <c r="AH6" s="15">
        <v>1.0410999999999999</v>
      </c>
      <c r="AI6" s="15">
        <v>1.1915</v>
      </c>
      <c r="AJ6" s="15">
        <v>1.0978000000000001</v>
      </c>
      <c r="AK6" s="15">
        <v>0.99199999999999999</v>
      </c>
      <c r="AL6" s="15">
        <v>0.92249999999999999</v>
      </c>
      <c r="AM6" s="15">
        <v>1.163</v>
      </c>
      <c r="AN6" s="15">
        <v>1.1519999999999999</v>
      </c>
      <c r="AO6" s="15">
        <v>1.0667</v>
      </c>
      <c r="AP6" s="15">
        <v>1.1533</v>
      </c>
      <c r="AQ6" s="15">
        <v>1.0949</v>
      </c>
      <c r="AR6" s="15">
        <v>1.159</v>
      </c>
      <c r="AS6" s="15">
        <v>1.0725</v>
      </c>
      <c r="AT6" s="17">
        <f>AVERAGE(AH6:AS6)</f>
        <v>1.0921916666666667</v>
      </c>
    </row>
    <row r="7" spans="1:46" hidden="1" x14ac:dyDescent="0.3">
      <c r="C7" s="1">
        <v>20</v>
      </c>
      <c r="D7" t="s">
        <v>37</v>
      </c>
      <c r="E7" s="2">
        <v>338.5</v>
      </c>
      <c r="F7" s="2">
        <v>10701.96</v>
      </c>
      <c r="G7" s="2">
        <v>95.52</v>
      </c>
      <c r="H7" s="2">
        <v>2.64</v>
      </c>
      <c r="I7" s="2">
        <v>125.86</v>
      </c>
      <c r="J7" s="2">
        <v>62.03</v>
      </c>
      <c r="K7" s="2">
        <v>2.88</v>
      </c>
      <c r="L7" s="2">
        <v>5.73</v>
      </c>
      <c r="M7" s="2">
        <v>6.25</v>
      </c>
      <c r="N7" s="2">
        <v>11404.74</v>
      </c>
      <c r="O7" s="2">
        <v>22.7</v>
      </c>
      <c r="P7" s="8">
        <v>502.41145374449337</v>
      </c>
      <c r="Q7" s="9">
        <v>0.29363615063968052</v>
      </c>
      <c r="R7" s="2">
        <v>0.51</v>
      </c>
      <c r="S7" s="2">
        <v>1.66</v>
      </c>
      <c r="T7" s="2">
        <v>2.5</v>
      </c>
      <c r="U7" s="2">
        <v>1711</v>
      </c>
      <c r="V7" s="2">
        <v>28.44</v>
      </c>
      <c r="W7" s="2">
        <v>6.57</v>
      </c>
      <c r="X7" s="2">
        <v>5.3</v>
      </c>
      <c r="Y7" s="2"/>
      <c r="Z7" s="2">
        <v>6.62</v>
      </c>
      <c r="AA7" s="2">
        <v>6.25</v>
      </c>
      <c r="AB7" s="2">
        <v>10.38</v>
      </c>
      <c r="AC7" s="2">
        <v>0.53</v>
      </c>
      <c r="AD7" s="2">
        <v>2.4500000000000002</v>
      </c>
      <c r="AE7" s="2">
        <v>26.36</v>
      </c>
    </row>
    <row r="8" spans="1:46" x14ac:dyDescent="0.3">
      <c r="C8" s="1">
        <v>11</v>
      </c>
      <c r="D8" t="s">
        <v>28</v>
      </c>
      <c r="E8" s="2">
        <v>1125.2</v>
      </c>
      <c r="F8" s="2">
        <v>109385.96</v>
      </c>
      <c r="G8" s="2">
        <v>280.68</v>
      </c>
      <c r="H8" s="2">
        <v>11.07</v>
      </c>
      <c r="I8" s="2">
        <v>96.64</v>
      </c>
      <c r="J8" s="2">
        <v>62.03</v>
      </c>
      <c r="K8" s="2">
        <v>1.51</v>
      </c>
      <c r="L8" s="2">
        <v>11.66</v>
      </c>
      <c r="M8" s="2">
        <v>15.56</v>
      </c>
      <c r="N8" s="2">
        <v>111714.36</v>
      </c>
      <c r="O8" s="2">
        <v>55.73</v>
      </c>
      <c r="P8" s="8">
        <v>2004.5641485734793</v>
      </c>
      <c r="Q8" s="9">
        <v>0.28520673783068828</v>
      </c>
      <c r="R8" s="2">
        <v>0.32</v>
      </c>
      <c r="S8" s="2">
        <v>0.88</v>
      </c>
      <c r="T8" s="2">
        <v>9.9700000000000006</v>
      </c>
      <c r="U8" s="2">
        <v>7028.46</v>
      </c>
      <c r="V8" s="2">
        <v>30.01</v>
      </c>
      <c r="W8" s="2">
        <v>16.100000000000001</v>
      </c>
      <c r="X8" s="2">
        <v>12.73</v>
      </c>
      <c r="Y8" s="2"/>
      <c r="Z8" s="2">
        <v>12.3</v>
      </c>
      <c r="AA8" s="2">
        <v>10.92</v>
      </c>
      <c r="AB8" s="2">
        <v>14.89</v>
      </c>
      <c r="AC8" s="2">
        <v>0.52</v>
      </c>
      <c r="AD8" s="2">
        <v>15.88</v>
      </c>
      <c r="AE8" s="2">
        <v>35.69</v>
      </c>
    </row>
    <row r="9" spans="1:46" hidden="1" x14ac:dyDescent="0.3">
      <c r="C9" s="1">
        <v>13</v>
      </c>
      <c r="D9" t="s">
        <v>30</v>
      </c>
      <c r="E9" s="2">
        <v>684.25</v>
      </c>
      <c r="F9" s="2">
        <v>27379.51</v>
      </c>
      <c r="G9" s="2">
        <v>221.42</v>
      </c>
      <c r="H9" s="2">
        <v>9.61</v>
      </c>
      <c r="I9" s="2">
        <v>72.59</v>
      </c>
      <c r="J9" s="2">
        <v>62.03</v>
      </c>
      <c r="K9" s="2">
        <v>2.73</v>
      </c>
      <c r="L9" s="2">
        <v>12.81</v>
      </c>
      <c r="M9" s="2">
        <v>9.02</v>
      </c>
      <c r="N9" s="2">
        <v>29856.51</v>
      </c>
      <c r="O9" s="2">
        <v>36.64</v>
      </c>
      <c r="P9" s="8">
        <v>814.86108078602615</v>
      </c>
      <c r="Q9" s="9">
        <v>0.26847915415835594</v>
      </c>
      <c r="R9" s="2">
        <v>1.2</v>
      </c>
      <c r="S9" s="2">
        <v>0.83</v>
      </c>
      <c r="T9" s="2">
        <v>7.06</v>
      </c>
      <c r="U9" s="2">
        <v>3035.1</v>
      </c>
      <c r="V9" s="2">
        <v>21.49</v>
      </c>
      <c r="W9" s="2">
        <v>13.41</v>
      </c>
      <c r="X9" s="2">
        <v>19.02</v>
      </c>
      <c r="Y9" s="2"/>
      <c r="Z9" s="2">
        <v>21.74</v>
      </c>
      <c r="AA9" s="2">
        <v>13.62</v>
      </c>
      <c r="AB9" s="2">
        <v>15.14</v>
      </c>
      <c r="AC9" s="2">
        <v>0.64</v>
      </c>
      <c r="AD9" s="2">
        <v>11.05</v>
      </c>
      <c r="AE9" s="2">
        <v>47.55</v>
      </c>
    </row>
    <row r="10" spans="1:46" hidden="1" x14ac:dyDescent="0.3">
      <c r="C10" s="3">
        <v>10</v>
      </c>
      <c r="D10" t="s">
        <v>27</v>
      </c>
      <c r="E10" s="4">
        <v>505.75</v>
      </c>
      <c r="F10" s="4">
        <v>4873.12</v>
      </c>
      <c r="G10" s="4">
        <v>596.66</v>
      </c>
      <c r="H10" s="4">
        <v>13.55</v>
      </c>
      <c r="I10" s="4">
        <v>37.33</v>
      </c>
      <c r="J10" s="4">
        <v>62.03</v>
      </c>
      <c r="K10" s="4">
        <v>0.24</v>
      </c>
      <c r="L10" s="4">
        <v>3.04</v>
      </c>
      <c r="M10" s="4">
        <v>5.53</v>
      </c>
      <c r="N10" s="4">
        <v>4444.13</v>
      </c>
      <c r="O10" s="4">
        <v>18.8</v>
      </c>
      <c r="P10" s="8">
        <v>236.38989361702127</v>
      </c>
      <c r="Q10" s="9">
        <v>0.26847538713332492</v>
      </c>
      <c r="R10" s="4">
        <v>0.01</v>
      </c>
      <c r="S10" s="4">
        <v>10.119999999999999</v>
      </c>
      <c r="T10" s="4">
        <v>23.87</v>
      </c>
      <c r="U10" s="4">
        <v>880.49</v>
      </c>
      <c r="V10" s="4">
        <v>38.74</v>
      </c>
      <c r="W10" s="4">
        <v>14.83</v>
      </c>
      <c r="X10" s="4">
        <v>10.53</v>
      </c>
      <c r="Y10" s="4"/>
      <c r="Z10" s="4">
        <v>17.97</v>
      </c>
      <c r="AA10" s="4">
        <v>9.86</v>
      </c>
      <c r="AB10" s="4">
        <v>13.75</v>
      </c>
      <c r="AC10" s="4">
        <v>0.64</v>
      </c>
      <c r="AD10" s="4">
        <v>12.28</v>
      </c>
      <c r="AE10" s="4">
        <v>124.99</v>
      </c>
    </row>
    <row r="11" spans="1:46" x14ac:dyDescent="0.3">
      <c r="C11" s="3">
        <v>8</v>
      </c>
      <c r="D11" t="s">
        <v>25</v>
      </c>
      <c r="E11" s="4">
        <v>1188.2</v>
      </c>
      <c r="F11" s="4">
        <v>31913.55</v>
      </c>
      <c r="G11" s="4">
        <v>370.19</v>
      </c>
      <c r="H11" s="4">
        <v>17.920000000000002</v>
      </c>
      <c r="I11" s="4">
        <v>61.56</v>
      </c>
      <c r="J11" s="4">
        <v>62.03</v>
      </c>
      <c r="K11" s="4">
        <v>0.88</v>
      </c>
      <c r="L11" s="4">
        <v>9.42</v>
      </c>
      <c r="M11" s="4">
        <v>8.64</v>
      </c>
      <c r="N11" s="4">
        <v>31508.95</v>
      </c>
      <c r="O11" s="4">
        <v>32.950000000000003</v>
      </c>
      <c r="P11" s="8">
        <v>956.26555386949917</v>
      </c>
      <c r="Q11" s="9">
        <v>0.25898772421390864</v>
      </c>
      <c r="R11" s="4">
        <v>0.21</v>
      </c>
      <c r="S11" s="4">
        <v>2.48</v>
      </c>
      <c r="T11" s="4">
        <v>11.68</v>
      </c>
      <c r="U11" s="4">
        <v>3692.32</v>
      </c>
      <c r="V11" s="4">
        <v>12.74</v>
      </c>
      <c r="W11" s="4">
        <v>14.04</v>
      </c>
      <c r="X11" s="4">
        <v>16.48</v>
      </c>
      <c r="Y11" s="4"/>
      <c r="Z11" s="4">
        <v>14.47</v>
      </c>
      <c r="AA11" s="4">
        <v>16.07</v>
      </c>
      <c r="AB11" s="4">
        <v>19.52</v>
      </c>
      <c r="AC11" s="4">
        <v>0.81</v>
      </c>
      <c r="AD11" s="4">
        <v>13.13</v>
      </c>
      <c r="AE11" s="4">
        <v>28.85</v>
      </c>
    </row>
    <row r="12" spans="1:46" hidden="1" x14ac:dyDescent="0.3">
      <c r="C12" s="1">
        <v>24</v>
      </c>
      <c r="D12" t="s">
        <v>41</v>
      </c>
      <c r="E12" s="2">
        <v>68.510000000000005</v>
      </c>
      <c r="F12" s="2">
        <v>1117.4000000000001</v>
      </c>
      <c r="G12" s="2">
        <v>29.68</v>
      </c>
      <c r="H12" s="2">
        <v>1.31</v>
      </c>
      <c r="I12" s="2">
        <v>52.14</v>
      </c>
      <c r="J12" s="2">
        <v>62.03</v>
      </c>
      <c r="K12" s="2">
        <v>4.08</v>
      </c>
      <c r="L12" s="2">
        <v>6.8</v>
      </c>
      <c r="M12" s="2">
        <v>4.82</v>
      </c>
      <c r="N12" s="2">
        <v>1197.51</v>
      </c>
      <c r="O12" s="2">
        <v>19.97</v>
      </c>
      <c r="P12" s="8">
        <v>59.965448172258391</v>
      </c>
      <c r="Q12" s="9">
        <v>0.25891817000111567</v>
      </c>
      <c r="R12" s="2">
        <v>0.54</v>
      </c>
      <c r="S12" s="2">
        <v>0.88</v>
      </c>
      <c r="T12" s="2">
        <v>4.3600000000000003</v>
      </c>
      <c r="U12" s="2">
        <v>231.6</v>
      </c>
      <c r="V12" s="2">
        <v>30.71</v>
      </c>
      <c r="W12" s="2">
        <v>9.25</v>
      </c>
      <c r="X12" s="2">
        <v>13.92</v>
      </c>
      <c r="Y12" s="2">
        <v>23.11</v>
      </c>
      <c r="Z12" s="2">
        <v>22.36</v>
      </c>
      <c r="AA12" s="2">
        <v>10.93</v>
      </c>
      <c r="AB12" s="2">
        <v>17.13</v>
      </c>
      <c r="AC12" s="2">
        <v>0.84</v>
      </c>
      <c r="AD12" s="2">
        <v>12.13</v>
      </c>
      <c r="AE12" s="2">
        <v>9.42</v>
      </c>
    </row>
    <row r="13" spans="1:46" x14ac:dyDescent="0.3">
      <c r="C13" s="3">
        <v>6</v>
      </c>
      <c r="D13" t="s">
        <v>23</v>
      </c>
      <c r="E13" s="4">
        <v>1464.8</v>
      </c>
      <c r="F13" s="4">
        <v>9604.11</v>
      </c>
      <c r="G13" s="4">
        <v>622.34</v>
      </c>
      <c r="H13" s="4">
        <v>29.47</v>
      </c>
      <c r="I13" s="4">
        <v>49.71</v>
      </c>
      <c r="J13" s="4">
        <v>62.03</v>
      </c>
      <c r="K13" s="4">
        <v>1.1200000000000001</v>
      </c>
      <c r="L13" s="4">
        <v>7.08</v>
      </c>
      <c r="M13" s="4">
        <v>7.61</v>
      </c>
      <c r="N13" s="4">
        <v>9508.59</v>
      </c>
      <c r="O13" s="4">
        <v>29.24</v>
      </c>
      <c r="P13" s="8">
        <v>325.19117647058823</v>
      </c>
      <c r="Q13" s="9">
        <v>0.25777113588093081</v>
      </c>
      <c r="R13" s="4">
        <v>0.28999999999999998</v>
      </c>
      <c r="S13" s="4">
        <v>4.51</v>
      </c>
      <c r="T13" s="4">
        <v>25.43</v>
      </c>
      <c r="U13" s="4">
        <v>1261.55</v>
      </c>
      <c r="V13" s="4">
        <v>17.96</v>
      </c>
      <c r="W13" s="4">
        <v>15.34</v>
      </c>
      <c r="X13" s="4">
        <v>15.3</v>
      </c>
      <c r="Y13" s="4"/>
      <c r="Z13" s="4">
        <v>17.2</v>
      </c>
      <c r="AA13" s="4">
        <v>13.24</v>
      </c>
      <c r="AB13" s="4">
        <v>18.39</v>
      </c>
      <c r="AC13" s="4">
        <v>0.79</v>
      </c>
      <c r="AD13" s="4">
        <v>10.130000000000001</v>
      </c>
      <c r="AE13" s="4">
        <v>12.12</v>
      </c>
    </row>
    <row r="14" spans="1:46" x14ac:dyDescent="0.3">
      <c r="A14" s="13">
        <v>18.489999999999998</v>
      </c>
      <c r="C14" s="1">
        <v>5</v>
      </c>
      <c r="D14" s="14" t="s">
        <v>22</v>
      </c>
      <c r="E14" s="2">
        <v>1743.9</v>
      </c>
      <c r="F14" s="2">
        <v>35638.480000000003</v>
      </c>
      <c r="G14" s="2">
        <v>543.28</v>
      </c>
      <c r="H14" s="2">
        <v>38.659999999999997</v>
      </c>
      <c r="I14" s="2">
        <v>44.75</v>
      </c>
      <c r="J14" s="2">
        <v>62.03</v>
      </c>
      <c r="K14" s="2">
        <v>1.02</v>
      </c>
      <c r="L14" s="2">
        <v>9.83</v>
      </c>
      <c r="M14" s="2">
        <v>6.5</v>
      </c>
      <c r="N14" s="2">
        <v>37420.11</v>
      </c>
      <c r="O14" s="2">
        <v>27.35</v>
      </c>
      <c r="P14" s="8">
        <v>1368.1941499085922</v>
      </c>
      <c r="Q14" s="9">
        <v>0.24953476939704181</v>
      </c>
      <c r="R14" s="2">
        <v>0.67</v>
      </c>
      <c r="S14" s="2">
        <v>2.14</v>
      </c>
      <c r="T14" s="2">
        <v>7.45</v>
      </c>
      <c r="U14" s="2">
        <v>5482.98</v>
      </c>
      <c r="V14" s="2">
        <v>9.26</v>
      </c>
      <c r="W14" s="2">
        <v>14.53</v>
      </c>
      <c r="X14" s="2">
        <v>24.47</v>
      </c>
      <c r="Y14" s="2">
        <v>19.27</v>
      </c>
      <c r="Z14" s="2">
        <v>25.23</v>
      </c>
      <c r="AA14" s="2">
        <v>15.53</v>
      </c>
      <c r="AB14" s="2">
        <v>20.63</v>
      </c>
      <c r="AC14" s="2">
        <v>0.85</v>
      </c>
      <c r="AD14" s="2">
        <v>9.7100000000000009</v>
      </c>
      <c r="AE14" s="2">
        <v>36.979999999999997</v>
      </c>
      <c r="AH14" s="22">
        <v>1.2264150943396226</v>
      </c>
      <c r="AI14" s="22">
        <v>0.7734375</v>
      </c>
      <c r="AJ14" s="22">
        <v>1.1611111111111112</v>
      </c>
      <c r="AK14" s="22">
        <v>1.0847457627118644</v>
      </c>
      <c r="AL14" s="22">
        <v>0.99539170506912444</v>
      </c>
      <c r="AM14" s="22">
        <v>1.1288135593220339</v>
      </c>
      <c r="AN14" s="22">
        <v>1.1728110599078341</v>
      </c>
      <c r="AO14" s="22">
        <v>1.3227513227513228</v>
      </c>
      <c r="AP14" s="22">
        <v>0.83132530120481929</v>
      </c>
      <c r="AQ14" s="22">
        <v>1.1864235055724417</v>
      </c>
      <c r="AR14" s="22">
        <v>0.98721227621483376</v>
      </c>
      <c r="AS14" s="22">
        <v>0.87225705329153602</v>
      </c>
      <c r="AT14" s="17">
        <v>1.0618912709580453</v>
      </c>
    </row>
    <row r="15" spans="1:46" hidden="1" x14ac:dyDescent="0.3">
      <c r="C15" s="3">
        <v>14</v>
      </c>
      <c r="D15" t="s">
        <v>31</v>
      </c>
      <c r="E15" s="4">
        <v>152.09</v>
      </c>
      <c r="F15" s="4">
        <v>1247.97</v>
      </c>
      <c r="G15" s="4">
        <v>94.99</v>
      </c>
      <c r="H15" s="4">
        <v>6.08</v>
      </c>
      <c r="I15" s="4">
        <v>25</v>
      </c>
      <c r="J15" s="4">
        <v>62.03</v>
      </c>
      <c r="K15" s="4">
        <v>0.71</v>
      </c>
      <c r="L15" s="4">
        <v>5.04</v>
      </c>
      <c r="M15" s="4">
        <v>3.07</v>
      </c>
      <c r="N15" s="4">
        <v>1279</v>
      </c>
      <c r="O15" s="4">
        <v>13.92</v>
      </c>
      <c r="P15" s="8">
        <v>91.882183908045974</v>
      </c>
      <c r="Q15" s="9">
        <v>0.22570484145531941</v>
      </c>
      <c r="R15" s="4">
        <v>0.14000000000000001</v>
      </c>
      <c r="S15" s="4">
        <v>1.06</v>
      </c>
      <c r="T15" s="4">
        <v>20.99</v>
      </c>
      <c r="U15" s="4">
        <v>407.09</v>
      </c>
      <c r="V15" s="4">
        <v>1.72</v>
      </c>
      <c r="W15" s="4">
        <v>12.26</v>
      </c>
      <c r="X15" s="4">
        <v>21.41</v>
      </c>
      <c r="Y15" s="4"/>
      <c r="Z15" s="4">
        <v>23.01</v>
      </c>
      <c r="AA15" s="4">
        <v>21.39</v>
      </c>
      <c r="AB15" s="4">
        <v>27.37</v>
      </c>
      <c r="AC15" s="4">
        <v>1.1200000000000001</v>
      </c>
      <c r="AD15" s="4">
        <v>9.2799999999999994</v>
      </c>
      <c r="AE15" s="4">
        <v>17.66</v>
      </c>
    </row>
    <row r="16" spans="1:46" x14ac:dyDescent="0.3">
      <c r="A16">
        <v>5.42</v>
      </c>
      <c r="C16" s="1">
        <v>3</v>
      </c>
      <c r="D16" s="13" t="s">
        <v>20</v>
      </c>
      <c r="E16" s="2">
        <v>559.29999999999995</v>
      </c>
      <c r="F16" s="2">
        <v>27937.77</v>
      </c>
      <c r="G16" s="2">
        <v>362.86</v>
      </c>
      <c r="H16" s="2">
        <v>107.66</v>
      </c>
      <c r="I16" s="2">
        <v>70.040000000000006</v>
      </c>
      <c r="J16" s="2">
        <v>62.03</v>
      </c>
      <c r="K16" s="11">
        <v>-40.72</v>
      </c>
      <c r="L16" s="2">
        <v>8.15</v>
      </c>
      <c r="M16" s="2">
        <v>6.75</v>
      </c>
      <c r="N16" s="2">
        <v>28575.54</v>
      </c>
      <c r="O16" s="2">
        <v>31.97</v>
      </c>
      <c r="P16" s="8">
        <v>893.82358461057242</v>
      </c>
      <c r="Q16" s="9">
        <v>0.2159797568686353</v>
      </c>
      <c r="R16" s="2">
        <v>0.59</v>
      </c>
      <c r="S16" s="2">
        <v>2.16</v>
      </c>
      <c r="T16" s="2">
        <v>5.21</v>
      </c>
      <c r="U16" s="2">
        <v>4138.46</v>
      </c>
      <c r="V16" s="2">
        <v>11.88</v>
      </c>
      <c r="W16" s="2">
        <v>9.69</v>
      </c>
      <c r="X16" s="2">
        <v>10.48</v>
      </c>
      <c r="Y16" s="2">
        <v>8.23</v>
      </c>
      <c r="Z16" s="2">
        <v>8.76</v>
      </c>
      <c r="AA16" s="2">
        <v>12.26</v>
      </c>
      <c r="AB16" s="2">
        <v>10.68</v>
      </c>
      <c r="AC16" s="2">
        <v>0.34</v>
      </c>
      <c r="AD16" s="2">
        <v>9.25</v>
      </c>
      <c r="AE16" s="2">
        <v>22.74</v>
      </c>
      <c r="AJ16" s="15">
        <v>0.53259999999999996</v>
      </c>
      <c r="AK16" s="15">
        <v>1.1605000000000001</v>
      </c>
      <c r="AL16" s="15">
        <v>0.93200000000000005</v>
      </c>
      <c r="AM16" s="15">
        <v>0.60819999999999996</v>
      </c>
      <c r="AN16" s="15">
        <v>0.87990000000000002</v>
      </c>
      <c r="AO16" s="15">
        <v>1.4325000000000001</v>
      </c>
      <c r="AP16" s="15">
        <v>0.89429999999999998</v>
      </c>
      <c r="AQ16" s="15">
        <v>4.2348999999999997</v>
      </c>
      <c r="AR16" s="15">
        <v>0.39829999999999999</v>
      </c>
      <c r="AS16" s="15">
        <v>0.72389999999999999</v>
      </c>
      <c r="AT16" s="17">
        <f>AVERAGE(AJ16:AS16)</f>
        <v>1.1797100000000003</v>
      </c>
    </row>
    <row r="17" spans="1:46" x14ac:dyDescent="0.3">
      <c r="C17" s="3">
        <v>12</v>
      </c>
      <c r="D17" t="s">
        <v>29</v>
      </c>
      <c r="E17" s="4">
        <v>706.3</v>
      </c>
      <c r="F17" s="4">
        <v>53322.69</v>
      </c>
      <c r="G17" s="4">
        <v>143.08000000000001</v>
      </c>
      <c r="H17" s="4">
        <v>10.26</v>
      </c>
      <c r="I17" s="4">
        <v>63.26</v>
      </c>
      <c r="J17" s="4">
        <v>62.03</v>
      </c>
      <c r="K17" s="4">
        <v>0.9</v>
      </c>
      <c r="L17" s="4">
        <v>5.98</v>
      </c>
      <c r="M17" s="4">
        <v>6.85</v>
      </c>
      <c r="N17" s="4">
        <v>55289.8</v>
      </c>
      <c r="O17" s="4">
        <v>33.18</v>
      </c>
      <c r="P17" s="8">
        <v>1666.3592525617844</v>
      </c>
      <c r="Q17" s="9">
        <v>0.21410931259025209</v>
      </c>
      <c r="R17" s="4">
        <v>0.28000000000000003</v>
      </c>
      <c r="S17" s="4">
        <v>0.92</v>
      </c>
      <c r="T17" s="4">
        <v>6.95</v>
      </c>
      <c r="U17" s="4">
        <v>7782.75</v>
      </c>
      <c r="V17" s="4">
        <v>12.91</v>
      </c>
      <c r="W17" s="4">
        <v>11.32</v>
      </c>
      <c r="X17" s="4">
        <v>10.17</v>
      </c>
      <c r="Y17" s="4">
        <v>4.08</v>
      </c>
      <c r="Z17" s="4">
        <v>6.5</v>
      </c>
      <c r="AA17" s="4">
        <v>9.85</v>
      </c>
      <c r="AB17" s="4">
        <v>11.99</v>
      </c>
      <c r="AC17" s="4">
        <v>0.57999999999999996</v>
      </c>
      <c r="AD17" s="4">
        <v>16.43</v>
      </c>
      <c r="AE17" s="4">
        <v>36.79</v>
      </c>
    </row>
    <row r="18" spans="1:46" hidden="1" x14ac:dyDescent="0.3">
      <c r="C18" s="1">
        <v>15</v>
      </c>
      <c r="D18" t="s">
        <v>32</v>
      </c>
      <c r="E18" s="2">
        <v>279.45</v>
      </c>
      <c r="F18" s="2">
        <v>3882.46</v>
      </c>
      <c r="G18" s="2">
        <v>117.38</v>
      </c>
      <c r="H18" s="2">
        <v>6.07</v>
      </c>
      <c r="I18" s="2">
        <v>46.52</v>
      </c>
      <c r="J18" s="2">
        <v>62.03</v>
      </c>
      <c r="K18" s="2">
        <v>1.43</v>
      </c>
      <c r="L18" s="2">
        <v>4.57</v>
      </c>
      <c r="M18" s="2">
        <v>4.25</v>
      </c>
      <c r="N18" s="2">
        <v>3769.69</v>
      </c>
      <c r="O18" s="2">
        <v>20.63</v>
      </c>
      <c r="P18" s="8">
        <v>182.72855065438682</v>
      </c>
      <c r="Q18" s="9">
        <v>0.20008382131527366</v>
      </c>
      <c r="R18" s="2">
        <v>0.33</v>
      </c>
      <c r="S18" s="2">
        <v>2.54</v>
      </c>
      <c r="T18" s="2">
        <v>4.58</v>
      </c>
      <c r="U18" s="2">
        <v>913.26</v>
      </c>
      <c r="V18" s="2">
        <v>8.0500000000000007</v>
      </c>
      <c r="W18" s="2">
        <v>9.14</v>
      </c>
      <c r="X18" s="2">
        <v>12.91</v>
      </c>
      <c r="Y18" s="2">
        <v>10.130000000000001</v>
      </c>
      <c r="Z18" s="2">
        <v>9.93</v>
      </c>
      <c r="AA18" s="2">
        <v>9.82</v>
      </c>
      <c r="AB18" s="2">
        <v>14.87</v>
      </c>
      <c r="AC18" s="2">
        <v>0.8</v>
      </c>
      <c r="AD18" s="2">
        <v>0</v>
      </c>
      <c r="AE18" s="2">
        <v>37.11</v>
      </c>
    </row>
    <row r="19" spans="1:46" x14ac:dyDescent="0.3">
      <c r="A19" s="13">
        <v>14.72</v>
      </c>
      <c r="C19" s="1">
        <v>9</v>
      </c>
      <c r="D19" s="13" t="s">
        <v>26</v>
      </c>
      <c r="E19" s="2">
        <v>441.1</v>
      </c>
      <c r="F19" s="2">
        <v>4043.7</v>
      </c>
      <c r="G19" s="2">
        <v>286.26</v>
      </c>
      <c r="H19" s="2">
        <v>17.559999999999999</v>
      </c>
      <c r="I19" s="2">
        <v>25.12</v>
      </c>
      <c r="J19" s="2">
        <v>62.03</v>
      </c>
      <c r="K19" s="2">
        <v>0.86</v>
      </c>
      <c r="L19" s="2">
        <v>6.78</v>
      </c>
      <c r="M19" s="2">
        <v>2.98</v>
      </c>
      <c r="N19" s="2">
        <v>3754.71</v>
      </c>
      <c r="O19" s="2">
        <v>14.07</v>
      </c>
      <c r="P19" s="8">
        <v>266.85927505330488</v>
      </c>
      <c r="Q19" s="9">
        <v>0.19674664178632878</v>
      </c>
      <c r="R19" s="2">
        <v>0.05</v>
      </c>
      <c r="S19" s="2">
        <v>2.41</v>
      </c>
      <c r="T19" s="2">
        <v>35.5</v>
      </c>
      <c r="U19" s="2">
        <v>1356.36</v>
      </c>
      <c r="V19" s="2">
        <v>8.9700000000000006</v>
      </c>
      <c r="W19" s="2">
        <v>11.87</v>
      </c>
      <c r="X19" s="2">
        <v>29.97</v>
      </c>
      <c r="Y19" s="2">
        <v>19.190000000000001</v>
      </c>
      <c r="Z19" s="2">
        <v>23.22</v>
      </c>
      <c r="AA19" s="2">
        <v>28.43</v>
      </c>
      <c r="AB19" s="2">
        <v>39.01</v>
      </c>
      <c r="AC19" s="2">
        <v>1.72</v>
      </c>
      <c r="AD19" s="2">
        <v>31.74</v>
      </c>
      <c r="AE19" s="2">
        <v>20.3</v>
      </c>
      <c r="AH19" s="15">
        <v>0.82420000000000004</v>
      </c>
      <c r="AI19" s="15">
        <v>0.97650000000000003</v>
      </c>
      <c r="AJ19" s="15">
        <v>1.0375000000000001</v>
      </c>
      <c r="AK19" s="15">
        <v>0.58230000000000004</v>
      </c>
      <c r="AL19" s="15">
        <v>0.82430000000000003</v>
      </c>
      <c r="AM19" s="15">
        <v>1.1097999999999999</v>
      </c>
      <c r="AN19" s="15">
        <v>1.1378999999999999</v>
      </c>
      <c r="AO19" s="15">
        <v>0.878</v>
      </c>
      <c r="AP19" s="15">
        <v>0.95</v>
      </c>
      <c r="AQ19" s="15">
        <v>1.0132000000000001</v>
      </c>
      <c r="AR19" s="15">
        <v>1.2666999999999999</v>
      </c>
      <c r="AS19" s="15">
        <v>0.89339999999999997</v>
      </c>
      <c r="AT19" s="16">
        <f>AVERAGE(AH19:AS19)</f>
        <v>0.95781666666666654</v>
      </c>
    </row>
    <row r="20" spans="1:46" hidden="1" x14ac:dyDescent="0.3">
      <c r="C20" s="3">
        <v>17</v>
      </c>
      <c r="D20" t="s">
        <v>34</v>
      </c>
      <c r="E20" s="4">
        <v>542.4</v>
      </c>
      <c r="F20" s="4">
        <v>7561.89</v>
      </c>
      <c r="G20" s="4">
        <v>72.25</v>
      </c>
      <c r="H20" s="4">
        <v>3.19</v>
      </c>
      <c r="I20" s="4">
        <v>170.27</v>
      </c>
      <c r="J20" s="4">
        <v>62.03</v>
      </c>
      <c r="K20" s="4">
        <v>8.83</v>
      </c>
      <c r="L20" s="4">
        <v>8.1999999999999993</v>
      </c>
      <c r="M20" s="4">
        <v>3.4</v>
      </c>
      <c r="N20" s="4">
        <v>9051.41</v>
      </c>
      <c r="O20" s="4">
        <v>21.41</v>
      </c>
      <c r="P20" s="8">
        <v>422.7655301261093</v>
      </c>
      <c r="Q20" s="9">
        <v>0.19019075966714322</v>
      </c>
      <c r="R20" s="4">
        <v>1.99</v>
      </c>
      <c r="S20" s="4">
        <v>0.81</v>
      </c>
      <c r="T20" s="4">
        <v>1.37</v>
      </c>
      <c r="U20" s="4">
        <v>2222.85</v>
      </c>
      <c r="V20" s="4">
        <v>16.510000000000002</v>
      </c>
      <c r="W20" s="4">
        <v>2.2000000000000002</v>
      </c>
      <c r="X20" s="4">
        <v>5.08</v>
      </c>
      <c r="Y20" s="4">
        <v>-1.83</v>
      </c>
      <c r="Z20" s="4">
        <v>-0.43</v>
      </c>
      <c r="AA20" s="4">
        <v>6.72</v>
      </c>
      <c r="AB20" s="4">
        <v>8.52</v>
      </c>
      <c r="AC20" s="4">
        <v>0.71</v>
      </c>
      <c r="AD20" s="4">
        <v>12.14</v>
      </c>
      <c r="AE20" s="4">
        <v>65.83</v>
      </c>
    </row>
    <row r="21" spans="1:46" x14ac:dyDescent="0.3">
      <c r="C21" s="3">
        <v>4</v>
      </c>
      <c r="D21" t="s">
        <v>21</v>
      </c>
      <c r="E21" s="4">
        <v>6880.5</v>
      </c>
      <c r="F21" s="4">
        <v>98931.03</v>
      </c>
      <c r="G21" s="4">
        <v>1487.6</v>
      </c>
      <c r="H21" s="4">
        <v>100.56</v>
      </c>
      <c r="I21" s="4">
        <v>68.42</v>
      </c>
      <c r="J21" s="4">
        <v>62.03</v>
      </c>
      <c r="K21" s="4">
        <v>1.87</v>
      </c>
      <c r="L21" s="4">
        <v>12.05</v>
      </c>
      <c r="M21" s="4">
        <v>4.54</v>
      </c>
      <c r="N21" s="4">
        <v>105435.13</v>
      </c>
      <c r="O21" s="4">
        <v>32.39</v>
      </c>
      <c r="P21" s="8">
        <v>3255.1753627662861</v>
      </c>
      <c r="Q21" s="9">
        <v>0.1493610793230378</v>
      </c>
      <c r="R21" s="4">
        <v>0.96</v>
      </c>
      <c r="S21" s="4">
        <v>1.54</v>
      </c>
      <c r="T21" s="4">
        <v>5.45</v>
      </c>
      <c r="U21" s="4">
        <v>21794</v>
      </c>
      <c r="V21" s="4">
        <v>14.35</v>
      </c>
      <c r="W21" s="4">
        <v>6.91</v>
      </c>
      <c r="X21" s="4">
        <v>19.09</v>
      </c>
      <c r="Y21" s="4">
        <v>10.96</v>
      </c>
      <c r="Z21" s="4">
        <v>13.99</v>
      </c>
      <c r="AA21" s="4">
        <v>12.61</v>
      </c>
      <c r="AB21" s="4">
        <v>17.12</v>
      </c>
      <c r="AC21" s="4">
        <v>1.17</v>
      </c>
      <c r="AD21" s="4">
        <v>24.05</v>
      </c>
      <c r="AE21" s="4">
        <v>50.51</v>
      </c>
    </row>
    <row r="22" spans="1:46" hidden="1" x14ac:dyDescent="0.3">
      <c r="C22" s="1">
        <v>26</v>
      </c>
      <c r="D22" t="s">
        <v>43</v>
      </c>
      <c r="E22" s="2">
        <v>187.5</v>
      </c>
      <c r="F22" s="2">
        <v>2025.18</v>
      </c>
      <c r="G22" s="2">
        <v>37.57</v>
      </c>
      <c r="H22" s="2">
        <v>0.57999999999999996</v>
      </c>
      <c r="I22" s="2">
        <v>1054.78</v>
      </c>
      <c r="J22" s="2">
        <v>62.03</v>
      </c>
      <c r="K22" s="2">
        <v>-25.64</v>
      </c>
      <c r="L22" s="2">
        <v>2.04</v>
      </c>
      <c r="M22" s="2">
        <v>1.86</v>
      </c>
      <c r="N22" s="2">
        <v>2466.25</v>
      </c>
      <c r="O22" s="2">
        <v>15.39</v>
      </c>
      <c r="P22" s="8">
        <v>160.25016244314489</v>
      </c>
      <c r="Q22" s="9">
        <v>0.14742967767272475</v>
      </c>
      <c r="R22" s="2">
        <v>0.48</v>
      </c>
      <c r="S22" s="2">
        <v>1.45</v>
      </c>
      <c r="T22" s="2">
        <v>2.44</v>
      </c>
      <c r="U22" s="2">
        <v>1086.96</v>
      </c>
      <c r="V22" s="2">
        <v>16.41</v>
      </c>
      <c r="W22" s="2">
        <v>0.18</v>
      </c>
      <c r="X22" s="2">
        <v>0.19</v>
      </c>
      <c r="Y22" s="2">
        <v>5.84</v>
      </c>
      <c r="Z22" s="2">
        <v>5.43</v>
      </c>
      <c r="AA22" s="2">
        <v>0.22</v>
      </c>
      <c r="AB22" s="2">
        <v>6.61</v>
      </c>
      <c r="AC22" s="2">
        <v>0.66</v>
      </c>
      <c r="AD22" s="2">
        <v>0.41</v>
      </c>
      <c r="AE22" s="2">
        <v>58.84</v>
      </c>
    </row>
    <row r="24" spans="1:46" x14ac:dyDescent="0.3">
      <c r="D24" t="s">
        <v>64</v>
      </c>
      <c r="E24" s="10">
        <f>AVERAGE(E4:E22)</f>
        <v>1515.5894736842108</v>
      </c>
      <c r="F24" s="10">
        <f t="shared" ref="F24:AE24" si="0">AVERAGE(F4:F22)</f>
        <v>23821.829473684214</v>
      </c>
      <c r="G24" s="10">
        <f t="shared" si="0"/>
        <v>563.18789473684205</v>
      </c>
      <c r="H24" s="10">
        <f t="shared" si="0"/>
        <v>37.231578947368433</v>
      </c>
      <c r="I24" s="10">
        <f t="shared" si="0"/>
        <v>115.38000000000001</v>
      </c>
      <c r="J24" s="10">
        <f t="shared" si="0"/>
        <v>62.029999999999987</v>
      </c>
      <c r="K24" s="10">
        <f t="shared" si="0"/>
        <v>-1.713157894736842</v>
      </c>
      <c r="L24" s="10">
        <f t="shared" si="0"/>
        <v>7.6236842105263154</v>
      </c>
      <c r="M24" s="10">
        <f t="shared" si="0"/>
        <v>6.1631578947368419</v>
      </c>
      <c r="N24" s="10">
        <f t="shared" si="0"/>
        <v>24785.795263157896</v>
      </c>
      <c r="O24" s="10">
        <f t="shared" si="0"/>
        <v>25.794210526315787</v>
      </c>
      <c r="P24" s="10">
        <f t="shared" si="0"/>
        <v>751.57890209572383</v>
      </c>
      <c r="Q24" s="10">
        <f t="shared" si="0"/>
        <v>0.24453224167574822</v>
      </c>
      <c r="R24" s="10">
        <f t="shared" si="0"/>
        <v>0.58210526315789468</v>
      </c>
      <c r="S24" s="10">
        <f t="shared" si="0"/>
        <v>2.3005263157894738</v>
      </c>
      <c r="T24" s="10">
        <f t="shared" si="0"/>
        <v>10.321578947368421</v>
      </c>
      <c r="U24" s="10">
        <f t="shared" si="0"/>
        <v>3489.9668421052629</v>
      </c>
      <c r="V24" s="10">
        <f t="shared" si="0"/>
        <v>17.570526315789483</v>
      </c>
      <c r="W24" s="10">
        <f t="shared" si="0"/>
        <v>11.19736842105263</v>
      </c>
      <c r="X24" s="10">
        <f t="shared" si="0"/>
        <v>15.571578947368419</v>
      </c>
      <c r="Y24" s="10">
        <f t="shared" si="0"/>
        <v>13.831666666666665</v>
      </c>
      <c r="Z24" s="10">
        <f t="shared" si="0"/>
        <v>15.668947368421051</v>
      </c>
      <c r="AA24" s="10">
        <f t="shared" si="0"/>
        <v>12.922105263157896</v>
      </c>
      <c r="AB24" s="10">
        <f t="shared" si="0"/>
        <v>17.117368421052632</v>
      </c>
      <c r="AC24" s="10">
        <f t="shared" si="0"/>
        <v>0.78736842105263172</v>
      </c>
      <c r="AD24" s="10">
        <f t="shared" si="0"/>
        <v>11.845789473684212</v>
      </c>
      <c r="AE24" s="10">
        <f t="shared" si="0"/>
        <v>35.336842105263166</v>
      </c>
    </row>
    <row r="25" spans="1:46" ht="15" thickBot="1" x14ac:dyDescent="0.35">
      <c r="D25" t="s">
        <v>65</v>
      </c>
      <c r="E25" s="10">
        <f>MEDIAN(E4:E22)</f>
        <v>684.25</v>
      </c>
      <c r="F25" s="10">
        <f t="shared" ref="F25:AE25" si="1">MEDIAN(F4:F22)</f>
        <v>9604.11</v>
      </c>
      <c r="G25" s="10">
        <f t="shared" si="1"/>
        <v>286.26</v>
      </c>
      <c r="H25" s="10">
        <f t="shared" si="1"/>
        <v>13.55</v>
      </c>
      <c r="I25" s="10">
        <f t="shared" si="1"/>
        <v>58.51</v>
      </c>
      <c r="J25" s="10">
        <f t="shared" si="1"/>
        <v>62.03</v>
      </c>
      <c r="K25" s="10">
        <f t="shared" si="1"/>
        <v>1.1599999999999999</v>
      </c>
      <c r="L25" s="10">
        <f t="shared" si="1"/>
        <v>7.08</v>
      </c>
      <c r="M25" s="10">
        <f t="shared" si="1"/>
        <v>5.53</v>
      </c>
      <c r="N25" s="10">
        <f t="shared" si="1"/>
        <v>9508.59</v>
      </c>
      <c r="O25" s="10">
        <f t="shared" si="1"/>
        <v>22.7</v>
      </c>
      <c r="P25" s="10">
        <f t="shared" si="1"/>
        <v>422.7655301261093</v>
      </c>
      <c r="Q25" s="10">
        <f t="shared" si="1"/>
        <v>0.25777113588093081</v>
      </c>
      <c r="R25" s="10">
        <f t="shared" si="1"/>
        <v>0.48</v>
      </c>
      <c r="S25" s="10">
        <f t="shared" si="1"/>
        <v>1.54</v>
      </c>
      <c r="T25" s="10">
        <f t="shared" si="1"/>
        <v>6.95</v>
      </c>
      <c r="U25" s="10">
        <f t="shared" si="1"/>
        <v>1515.87</v>
      </c>
      <c r="V25" s="10">
        <f t="shared" si="1"/>
        <v>16.41</v>
      </c>
      <c r="W25" s="10">
        <f t="shared" si="1"/>
        <v>12.26</v>
      </c>
      <c r="X25" s="10">
        <f t="shared" si="1"/>
        <v>15.3</v>
      </c>
      <c r="Y25" s="10">
        <f t="shared" si="1"/>
        <v>14.215</v>
      </c>
      <c r="Z25" s="10">
        <f t="shared" si="1"/>
        <v>17.2</v>
      </c>
      <c r="AA25" s="10">
        <f t="shared" si="1"/>
        <v>12.61</v>
      </c>
      <c r="AB25" s="10">
        <f t="shared" si="1"/>
        <v>17.12</v>
      </c>
      <c r="AC25" s="10">
        <f t="shared" si="1"/>
        <v>0.72</v>
      </c>
      <c r="AD25" s="10">
        <f t="shared" si="1"/>
        <v>11.05</v>
      </c>
      <c r="AE25" s="10">
        <f t="shared" si="1"/>
        <v>28.85</v>
      </c>
    </row>
    <row r="26" spans="1:46" x14ac:dyDescent="0.3">
      <c r="AH26" s="18"/>
      <c r="AI26" s="18"/>
      <c r="AJ26" s="18"/>
      <c r="AK26" s="18"/>
      <c r="AL26" s="18"/>
      <c r="AM26" s="18"/>
      <c r="AN26" s="18"/>
      <c r="AO26" s="18"/>
      <c r="AP26" s="18"/>
      <c r="AQ26" s="19"/>
      <c r="AR26" s="19"/>
      <c r="AS26" s="18"/>
    </row>
    <row r="27" spans="1:46" x14ac:dyDescent="0.3"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6" ht="15" thickBot="1" x14ac:dyDescent="0.35">
      <c r="D28" s="13" t="s">
        <v>67</v>
      </c>
    </row>
    <row r="29" spans="1:46" x14ac:dyDescent="0.3">
      <c r="A29" s="13"/>
      <c r="D29" s="13" t="s">
        <v>68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1"/>
      <c r="AS29" s="21"/>
    </row>
    <row r="30" spans="1:46" x14ac:dyDescent="0.3">
      <c r="D30" s="13" t="s">
        <v>69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16"/>
    </row>
    <row r="31" spans="1:46" x14ac:dyDescent="0.3">
      <c r="A31" s="13">
        <v>12.4</v>
      </c>
      <c r="D31" s="13" t="s">
        <v>70</v>
      </c>
    </row>
    <row r="32" spans="1:46" x14ac:dyDescent="0.3">
      <c r="A32" s="13"/>
      <c r="D32" s="13"/>
    </row>
    <row r="33" spans="1:4" x14ac:dyDescent="0.3">
      <c r="A33">
        <v>23.06</v>
      </c>
      <c r="D33" s="23" t="s">
        <v>71</v>
      </c>
    </row>
  </sheetData>
  <autoFilter ref="C3:AE22" xr:uid="{682719B7-E91F-4B78-A37D-B2C919BA20CA}">
    <filterColumn colId="5">
      <customFilters>
        <customFilter operator="greaterThanOrEqual" val="10"/>
      </customFilters>
    </filterColumn>
    <filterColumn colId="6">
      <customFilters>
        <customFilter operator="lessThanOrEqual" val="110"/>
      </customFilters>
    </filterColumn>
    <filterColumn colId="16">
      <customFilters>
        <customFilter operator="greaterThanOrEqual" val="0.7"/>
      </customFilters>
    </filterColumn>
    <filterColumn colId="28">
      <customFilters>
        <customFilter operator="lessThanOrEqual" val="80"/>
      </customFilters>
    </filterColumn>
    <sortState xmlns:xlrd2="http://schemas.microsoft.com/office/spreadsheetml/2017/richdata2" ref="C4:AE22">
      <sortCondition descending="1" ref="Q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harshdipn12340987@gmail.com</dc:creator>
  <cp:lastModifiedBy>harshdipn12340987@gmail.com</cp:lastModifiedBy>
  <dcterms:created xsi:type="dcterms:W3CDTF">2025-05-31T13:47:37Z</dcterms:created>
  <dcterms:modified xsi:type="dcterms:W3CDTF">2025-06-08T04:30:38Z</dcterms:modified>
</cp:coreProperties>
</file>